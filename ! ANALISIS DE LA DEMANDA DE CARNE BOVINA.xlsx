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.xml" ContentType="application/vnd.openxmlformats-officedocument.spreadsheetml.pivotTab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8.xml" ContentType="application/vnd.openxmlformats-officedocument.drawing+xml"/>
  <Override PartName="/xl/charts/chartEx1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pivotTables/pivotTable2.xml" ContentType="application/vnd.openxmlformats-officedocument.spreadsheetml.pivotTable+xml"/>
  <Override PartName="/xl/drawings/drawing19.xml" ContentType="application/vnd.openxmlformats-officedocument.drawing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TRABAJO DIRIGIDO\1. Fuentes TRABAJO DIRIGIDO\"/>
    </mc:Choice>
  </mc:AlternateContent>
  <xr:revisionPtr revIDLastSave="0" documentId="13_ncr:1_{CBA7A2A1-7936-4469-9B52-9D5B86505F3C}" xr6:coauthVersionLast="47" xr6:coauthVersionMax="47" xr10:uidLastSave="{00000000-0000-0000-0000-000000000000}"/>
  <bookViews>
    <workbookView xWindow="-120" yWindow="-120" windowWidth="20730" windowHeight="11160" firstSheet="7" activeTab="14" xr2:uid="{00000000-000D-0000-FFFF-FFFF00000000}"/>
  </bookViews>
  <sheets>
    <sheet name="graf 1" sheetId="2" r:id="rId1"/>
    <sheet name="Grafico 2" sheetId="3" r:id="rId2"/>
    <sheet name="graf 3 " sheetId="4" r:id="rId3"/>
    <sheet name="graf 4" sheetId="5" r:id="rId4"/>
    <sheet name="graf 5" sheetId="6" r:id="rId5"/>
    <sheet name="graf 6" sheetId="7" r:id="rId6"/>
    <sheet name="graf 7" sheetId="8" r:id="rId7"/>
    <sheet name="Graf 7 (2)" sheetId="15" r:id="rId8"/>
    <sheet name="graf 8" sheetId="16" r:id="rId9"/>
    <sheet name="Graf 9 precio" sheetId="10" r:id="rId10"/>
    <sheet name="Gráf 10" sheetId="21" r:id="rId11"/>
    <sheet name="Grafi 11" sheetId="27" r:id="rId12"/>
    <sheet name="graf 12 nn" sheetId="19" r:id="rId13"/>
    <sheet name="grafi 13" sheetId="11" r:id="rId14"/>
    <sheet name="Grafi 14" sheetId="13" r:id="rId15"/>
    <sheet name="Grafi 15" sheetId="14" r:id="rId16"/>
    <sheet name="Graf 16" sheetId="20" r:id="rId17"/>
    <sheet name="Graf 17" sheetId="17" r:id="rId18"/>
    <sheet name="Tabla 1" sheetId="23" r:id="rId19"/>
    <sheet name="Tab 2" sheetId="28" r:id="rId20"/>
    <sheet name="Tab 3" sheetId="25" r:id="rId21"/>
  </sheets>
  <definedNames>
    <definedName name="_xlnm._FilterDatabase" localSheetId="2" hidden="1">'graf 3 '!$A$1:$I$1</definedName>
    <definedName name="_xlnm._FilterDatabase" localSheetId="6" hidden="1">'graf 7'!$A$1:$J$1</definedName>
    <definedName name="_xlchart.v1.0" hidden="1">'Graf 17'!$A$3:$A$15</definedName>
    <definedName name="_xlchart.v1.1" hidden="1">'Graf 17'!$J$3:$J$15</definedName>
    <definedName name="_xlnm.Database">#REF!</definedName>
  </definedNames>
  <calcPr calcId="191029"/>
  <pivotCaches>
    <pivotCache cacheId="0" r:id="rId22"/>
    <pivotCache cacheId="1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3" l="1"/>
  <c r="M4" i="13"/>
  <c r="L2" i="13"/>
  <c r="M2" i="13"/>
  <c r="D23" i="21"/>
  <c r="L25" i="15" l="1"/>
  <c r="E25" i="15"/>
  <c r="F25" i="15"/>
  <c r="G25" i="15"/>
  <c r="H25" i="15"/>
  <c r="I25" i="15"/>
  <c r="J25" i="15"/>
  <c r="K25" i="15"/>
  <c r="D25" i="15"/>
  <c r="D24" i="15"/>
  <c r="E24" i="15"/>
  <c r="F24" i="15"/>
  <c r="G24" i="15"/>
  <c r="H24" i="15"/>
  <c r="I24" i="15"/>
  <c r="J24" i="15"/>
  <c r="K24" i="15"/>
  <c r="C24" i="15"/>
  <c r="N27" i="4"/>
  <c r="O27" i="4"/>
  <c r="P27" i="4"/>
  <c r="Q27" i="4"/>
  <c r="R27" i="4"/>
  <c r="S27" i="4"/>
  <c r="T27" i="4"/>
  <c r="M27" i="4"/>
  <c r="C32" i="23" l="1"/>
  <c r="J19" i="14" l="1"/>
  <c r="J20" i="14"/>
  <c r="J21" i="14"/>
  <c r="J22" i="14"/>
  <c r="J16" i="14"/>
  <c r="J13" i="14"/>
  <c r="L3" i="13"/>
  <c r="L4" i="13"/>
  <c r="Y3" i="13"/>
  <c r="X3" i="13"/>
  <c r="M2" i="11"/>
  <c r="H43" i="17"/>
  <c r="H44" i="17"/>
  <c r="H45" i="17"/>
  <c r="H46" i="17"/>
  <c r="H47" i="17"/>
  <c r="H48" i="17"/>
  <c r="H49" i="17"/>
  <c r="H50" i="17"/>
  <c r="H51" i="17"/>
  <c r="H52" i="17"/>
  <c r="H53" i="17"/>
  <c r="H54" i="17"/>
  <c r="H42" i="17"/>
  <c r="G55" i="17"/>
  <c r="F12" i="21"/>
  <c r="L5" i="15"/>
  <c r="K5" i="15"/>
  <c r="E3" i="16"/>
  <c r="E4" i="16"/>
  <c r="E5" i="16"/>
  <c r="E6" i="16"/>
  <c r="E7" i="16"/>
  <c r="E8" i="16"/>
  <c r="E9" i="16"/>
  <c r="E10" i="16"/>
  <c r="E11" i="16"/>
  <c r="E2" i="16"/>
  <c r="D15" i="16"/>
  <c r="C181" i="5"/>
  <c r="D181" i="5"/>
  <c r="E181" i="5"/>
  <c r="F181" i="5"/>
  <c r="G181" i="5"/>
  <c r="H181" i="5"/>
  <c r="I181" i="5"/>
  <c r="J181" i="5"/>
  <c r="B181" i="5"/>
  <c r="U2" i="4"/>
  <c r="G26" i="3"/>
  <c r="E41" i="3"/>
  <c r="E20" i="3"/>
  <c r="E14" i="3"/>
  <c r="Y45" i="2" l="1"/>
  <c r="Y40" i="2"/>
  <c r="X40" i="2"/>
  <c r="W40" i="2"/>
  <c r="Y39" i="2"/>
  <c r="C16" i="17"/>
  <c r="D16" i="17"/>
  <c r="E16" i="17"/>
  <c r="F16" i="17"/>
  <c r="G16" i="17"/>
  <c r="H16" i="17"/>
  <c r="I16" i="17"/>
  <c r="B16" i="17"/>
  <c r="E31" i="23"/>
  <c r="D31" i="23"/>
  <c r="C31" i="23"/>
  <c r="E30" i="23"/>
  <c r="D30" i="23"/>
  <c r="C30" i="23"/>
  <c r="E29" i="23"/>
  <c r="D29" i="23"/>
  <c r="C29" i="23"/>
  <c r="E28" i="23"/>
  <c r="D28" i="23"/>
  <c r="C28" i="23"/>
  <c r="E27" i="23"/>
  <c r="D27" i="23"/>
  <c r="C27" i="23"/>
  <c r="E26" i="23"/>
  <c r="D26" i="23"/>
  <c r="C26" i="23"/>
  <c r="E25" i="23"/>
  <c r="D25" i="23"/>
  <c r="C25" i="23"/>
  <c r="K6" i="17"/>
  <c r="K7" i="17"/>
  <c r="K8" i="17"/>
  <c r="K9" i="17"/>
  <c r="K10" i="17"/>
  <c r="K4" i="17"/>
  <c r="K5" i="17"/>
  <c r="K3" i="17"/>
  <c r="J16" i="17"/>
  <c r="G19" i="21"/>
  <c r="B25" i="21"/>
  <c r="C18" i="21"/>
  <c r="C19" i="21"/>
  <c r="C20" i="21"/>
  <c r="C21" i="21"/>
  <c r="C22" i="21"/>
  <c r="C23" i="21"/>
  <c r="C24" i="21"/>
  <c r="C17" i="21"/>
  <c r="B18" i="21"/>
  <c r="B19" i="21"/>
  <c r="B20" i="21"/>
  <c r="B21" i="21"/>
  <c r="B22" i="21"/>
  <c r="B23" i="21"/>
  <c r="B24" i="21"/>
  <c r="B17" i="21"/>
  <c r="F11" i="21"/>
  <c r="F10" i="21"/>
  <c r="F9" i="21"/>
  <c r="F8" i="21"/>
  <c r="F7" i="21"/>
  <c r="F6" i="21"/>
  <c r="F5" i="21"/>
  <c r="F4" i="21"/>
  <c r="F3" i="21"/>
  <c r="B5" i="20"/>
  <c r="C12" i="19"/>
  <c r="D12" i="19"/>
  <c r="C13" i="19"/>
  <c r="D13" i="19"/>
  <c r="C14" i="19"/>
  <c r="D14" i="19"/>
  <c r="C15" i="19"/>
  <c r="D15" i="19"/>
  <c r="C16" i="19"/>
  <c r="D16" i="19"/>
  <c r="C17" i="19"/>
  <c r="D17" i="19"/>
  <c r="C18" i="19"/>
  <c r="D18" i="19"/>
  <c r="D11" i="19"/>
  <c r="C11" i="19"/>
  <c r="E3" i="19"/>
  <c r="B29" i="19"/>
  <c r="B28" i="19"/>
  <c r="B27" i="19"/>
  <c r="B26" i="19"/>
  <c r="B25" i="19"/>
  <c r="B24" i="19"/>
  <c r="B23" i="19"/>
  <c r="B22" i="19"/>
  <c r="I9" i="17"/>
  <c r="J9" i="17" s="1"/>
  <c r="I7" i="17"/>
  <c r="J7" i="17" s="1"/>
  <c r="I4" i="17"/>
  <c r="J4" i="17" s="1"/>
  <c r="I14" i="17"/>
  <c r="J14" i="17" s="1"/>
  <c r="I6" i="17"/>
  <c r="J6" i="17" s="1"/>
  <c r="I11" i="17"/>
  <c r="J11" i="17" s="1"/>
  <c r="I13" i="17"/>
  <c r="J13" i="17" s="1"/>
  <c r="I5" i="17"/>
  <c r="J5" i="17" s="1"/>
  <c r="I8" i="17"/>
  <c r="J8" i="17" s="1"/>
  <c r="J12" i="17"/>
  <c r="I12" i="17"/>
  <c r="I3" i="17"/>
  <c r="J3" i="17" s="1"/>
  <c r="I15" i="17"/>
  <c r="J15" i="17" s="1"/>
  <c r="I10" i="17"/>
  <c r="J10" i="17" s="1"/>
  <c r="I15" i="14"/>
  <c r="I14" i="14"/>
  <c r="I13" i="14"/>
  <c r="H21" i="14"/>
  <c r="I16" i="14"/>
  <c r="I22" i="14" s="1"/>
  <c r="K4" i="13"/>
  <c r="K3" i="13"/>
  <c r="D11" i="16"/>
  <c r="D10" i="16"/>
  <c r="D9" i="16"/>
  <c r="D8" i="16"/>
  <c r="D7" i="16"/>
  <c r="D6" i="16"/>
  <c r="D5" i="16"/>
  <c r="D4" i="16"/>
  <c r="D3" i="16"/>
  <c r="D2" i="16"/>
  <c r="L10" i="15"/>
  <c r="L72" i="6"/>
  <c r="L73" i="6"/>
  <c r="L74" i="6"/>
  <c r="L75" i="6"/>
  <c r="L76" i="6"/>
  <c r="L77" i="6"/>
  <c r="L78" i="6"/>
  <c r="L79" i="6"/>
  <c r="L80" i="6"/>
  <c r="L71" i="6"/>
  <c r="O3" i="4"/>
  <c r="P3" i="4"/>
  <c r="Q3" i="4"/>
  <c r="R3" i="4"/>
  <c r="S3" i="4"/>
  <c r="T3" i="4"/>
  <c r="N3" i="4"/>
  <c r="M3" i="4"/>
  <c r="C16" i="14"/>
  <c r="C22" i="14" s="1"/>
  <c r="D16" i="14"/>
  <c r="D21" i="14" s="1"/>
  <c r="E16" i="14"/>
  <c r="E20" i="14" s="1"/>
  <c r="F16" i="14"/>
  <c r="F19" i="14" s="1"/>
  <c r="G16" i="14"/>
  <c r="G22" i="14" s="1"/>
  <c r="H16" i="14"/>
  <c r="B16" i="14"/>
  <c r="B20" i="14" s="1"/>
  <c r="J4" i="13"/>
  <c r="I4" i="13"/>
  <c r="H4" i="13"/>
  <c r="G4" i="13"/>
  <c r="F4" i="13"/>
  <c r="E4" i="13"/>
  <c r="D4" i="13"/>
  <c r="W3" i="13"/>
  <c r="V3" i="13"/>
  <c r="U3" i="13"/>
  <c r="T3" i="13"/>
  <c r="S3" i="13"/>
  <c r="R3" i="13"/>
  <c r="Q3" i="13"/>
  <c r="P3" i="13"/>
  <c r="J3" i="13"/>
  <c r="I3" i="13"/>
  <c r="F6" i="13" s="1"/>
  <c r="H3" i="13"/>
  <c r="G3" i="13"/>
  <c r="F3" i="13"/>
  <c r="E3" i="13"/>
  <c r="D6" i="13" s="1"/>
  <c r="D3" i="13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U7" i="8"/>
  <c r="J7" i="8"/>
  <c r="J6" i="8"/>
  <c r="J5" i="8"/>
  <c r="J4" i="8"/>
  <c r="N3" i="8"/>
  <c r="J3" i="8"/>
  <c r="J2" i="8"/>
  <c r="J10" i="7"/>
  <c r="I10" i="7"/>
  <c r="H10" i="7"/>
  <c r="G10" i="7"/>
  <c r="F10" i="7"/>
  <c r="E10" i="7"/>
  <c r="D10" i="7"/>
  <c r="C10" i="7"/>
  <c r="D32" i="23" l="1"/>
  <c r="E32" i="23"/>
  <c r="I19" i="14"/>
  <c r="I21" i="14"/>
  <c r="I20" i="14"/>
  <c r="B19" i="14"/>
  <c r="H20" i="14"/>
  <c r="D20" i="14"/>
  <c r="G21" i="14"/>
  <c r="E19" i="14"/>
  <c r="C21" i="14"/>
  <c r="F22" i="14"/>
  <c r="H19" i="14"/>
  <c r="D19" i="14"/>
  <c r="G20" i="14"/>
  <c r="C20" i="14"/>
  <c r="F21" i="14"/>
  <c r="B22" i="14"/>
  <c r="E22" i="14"/>
  <c r="G19" i="14"/>
  <c r="C19" i="14"/>
  <c r="F20" i="14"/>
  <c r="B21" i="14"/>
  <c r="E21" i="14"/>
  <c r="H22" i="14"/>
  <c r="D22" i="14"/>
  <c r="D48" i="6"/>
  <c r="D44" i="6"/>
  <c r="F44" i="6" s="1"/>
  <c r="C38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N10" i="5"/>
  <c r="O6" i="5"/>
  <c r="T7" i="4"/>
  <c r="D58" i="3"/>
  <c r="C58" i="3"/>
  <c r="B58" i="3"/>
  <c r="D49" i="3"/>
  <c r="C49" i="3"/>
  <c r="E49" i="3" s="1"/>
  <c r="D48" i="3"/>
  <c r="C48" i="3"/>
  <c r="D47" i="3"/>
  <c r="C47" i="3"/>
  <c r="E47" i="3" s="1"/>
  <c r="D46" i="3"/>
  <c r="C46" i="3"/>
  <c r="E46" i="3" s="1"/>
  <c r="D45" i="3"/>
  <c r="C45" i="3"/>
  <c r="E45" i="3" s="1"/>
  <c r="D44" i="3"/>
  <c r="C44" i="3"/>
  <c r="D43" i="3"/>
  <c r="C43" i="3"/>
  <c r="E43" i="3" s="1"/>
  <c r="D42" i="3"/>
  <c r="C42" i="3"/>
  <c r="D41" i="3"/>
  <c r="C41" i="3"/>
  <c r="D40" i="3"/>
  <c r="C40" i="3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E44" i="3" l="1"/>
  <c r="E40" i="3"/>
  <c r="E48" i="3"/>
  <c r="E42" i="3"/>
</calcChain>
</file>

<file path=xl/sharedStrings.xml><?xml version="1.0" encoding="utf-8"?>
<sst xmlns="http://schemas.openxmlformats.org/spreadsheetml/2006/main" count="1018" uniqueCount="428">
  <si>
    <t>MUNDO: PRODUCCIÓN DE CARNE BOVINA Y SUS DERIVADOS, AÑO 2000-2022</t>
  </si>
  <si>
    <t xml:space="preserve">(Expresado en </t>
  </si>
  <si>
    <t>CLASIFIACIONES FAO</t>
  </si>
  <si>
    <t>Carne, ganado vacuno, fresca o refrigerada</t>
  </si>
  <si>
    <t>Despojos comestibles de bovinos, frescos, refrigerados o congelados</t>
  </si>
  <si>
    <t>Grasa bovino, sin procesar</t>
  </si>
  <si>
    <t>total</t>
  </si>
  <si>
    <t>(Expresado en millones de toneladas)</t>
  </si>
  <si>
    <t>PAÍS</t>
  </si>
  <si>
    <t>2014</t>
  </si>
  <si>
    <t>2018</t>
  </si>
  <si>
    <t>2022</t>
  </si>
  <si>
    <t>Francia</t>
  </si>
  <si>
    <t>Canadá</t>
  </si>
  <si>
    <t>Turquía</t>
  </si>
  <si>
    <t>Federación de Rusia</t>
  </si>
  <si>
    <t>Australia</t>
  </si>
  <si>
    <t>México</t>
  </si>
  <si>
    <t>Argentina</t>
  </si>
  <si>
    <t>China</t>
  </si>
  <si>
    <t>Brasil</t>
  </si>
  <si>
    <t>Estados Unidos de América</t>
  </si>
  <si>
    <t>Resto</t>
  </si>
  <si>
    <t>Total general</t>
  </si>
  <si>
    <t>Bolivia</t>
  </si>
  <si>
    <t>PROM</t>
  </si>
  <si>
    <t>TOTAL</t>
  </si>
  <si>
    <t>Exporters</t>
  </si>
  <si>
    <t>World</t>
  </si>
  <si>
    <t>United States of America</t>
  </si>
  <si>
    <t>Netherlands</t>
  </si>
  <si>
    <t>Canada</t>
  </si>
  <si>
    <t>Poland</t>
  </si>
  <si>
    <t>Germany</t>
  </si>
  <si>
    <t>Ireland</t>
  </si>
  <si>
    <t>France</t>
  </si>
  <si>
    <t>Brazil</t>
  </si>
  <si>
    <t>Spain</t>
  </si>
  <si>
    <t>Paraguay</t>
  </si>
  <si>
    <t>Belgium</t>
  </si>
  <si>
    <t>Italy</t>
  </si>
  <si>
    <t>Austria</t>
  </si>
  <si>
    <t>United Kingdom</t>
  </si>
  <si>
    <t>Belarus</t>
  </si>
  <si>
    <t>Mexico</t>
  </si>
  <si>
    <t>No Quantity</t>
  </si>
  <si>
    <t>Denmark</t>
  </si>
  <si>
    <t>Pakistan</t>
  </si>
  <si>
    <t>Nicaragua</t>
  </si>
  <si>
    <t>Uruguay</t>
  </si>
  <si>
    <t>New Zealand</t>
  </si>
  <si>
    <t>Lithuania</t>
  </si>
  <si>
    <t>South Africa</t>
  </si>
  <si>
    <t>India</t>
  </si>
  <si>
    <t>Portugal</t>
  </si>
  <si>
    <t>Czech Republic</t>
  </si>
  <si>
    <t>Sudan</t>
  </si>
  <si>
    <t>Colombia</t>
  </si>
  <si>
    <t>Latvia</t>
  </si>
  <si>
    <t>Ukraine</t>
  </si>
  <si>
    <t>Romania</t>
  </si>
  <si>
    <t>Kazakhstan</t>
  </si>
  <si>
    <t>Slovenia</t>
  </si>
  <si>
    <t>Croatia</t>
  </si>
  <si>
    <t>Sweden</t>
  </si>
  <si>
    <t>Namibia</t>
  </si>
  <si>
    <t>Finland</t>
  </si>
  <si>
    <t>Botswana</t>
  </si>
  <si>
    <t>Costa Rica</t>
  </si>
  <si>
    <t>Serbia</t>
  </si>
  <si>
    <t>Bosnia and Herzegovina</t>
  </si>
  <si>
    <t>Japan</t>
  </si>
  <si>
    <t>Luxembourg</t>
  </si>
  <si>
    <t>Slovakia</t>
  </si>
  <si>
    <t>United Arab Emirates</t>
  </si>
  <si>
    <t>Estonia</t>
  </si>
  <si>
    <t>Russian Federation</t>
  </si>
  <si>
    <t>Bulgaria</t>
  </si>
  <si>
    <t>Malaysia</t>
  </si>
  <si>
    <t>Honduras</t>
  </si>
  <si>
    <t>Greece</t>
  </si>
  <si>
    <t>Bolivia, Plurinational State of</t>
  </si>
  <si>
    <t>Hong Kong, China</t>
  </si>
  <si>
    <t>Chile</t>
  </si>
  <si>
    <t>Egypt</t>
  </si>
  <si>
    <t>Tanzania, United Republic of</t>
  </si>
  <si>
    <t>Ethiopia</t>
  </si>
  <si>
    <t>Panama</t>
  </si>
  <si>
    <t>Singapore</t>
  </si>
  <si>
    <t>Cyprus</t>
  </si>
  <si>
    <t>Türkiye</t>
  </si>
  <si>
    <t>Eswatini</t>
  </si>
  <si>
    <t>Zambia</t>
  </si>
  <si>
    <t>Myanmar</t>
  </si>
  <si>
    <t>Madagascar</t>
  </si>
  <si>
    <t>Nepal</t>
  </si>
  <si>
    <t>Mali</t>
  </si>
  <si>
    <t>Dominican Republic</t>
  </si>
  <si>
    <t>Korea, Republic of</t>
  </si>
  <si>
    <t>Iran, Islamic Republic of</t>
  </si>
  <si>
    <t>Saudi Arabia</t>
  </si>
  <si>
    <t>Moldova, Republic of</t>
  </si>
  <si>
    <t>Guatemala</t>
  </si>
  <si>
    <t>Kenya</t>
  </si>
  <si>
    <t>Switzerland</t>
  </si>
  <si>
    <t>Kuwait</t>
  </si>
  <si>
    <t>South Sudan</t>
  </si>
  <si>
    <t>Vanuatu</t>
  </si>
  <si>
    <t>Côte d'Ivoire</t>
  </si>
  <si>
    <t>Jordan</t>
  </si>
  <si>
    <t>Oman</t>
  </si>
  <si>
    <t>Lebanon</t>
  </si>
  <si>
    <t>Venezuela, Bolivarian Republic of</t>
  </si>
  <si>
    <t>Uganda</t>
  </si>
  <si>
    <t>Mongolia</t>
  </si>
  <si>
    <t>Bangladesh</t>
  </si>
  <si>
    <t>Montenegro</t>
  </si>
  <si>
    <t>Peru</t>
  </si>
  <si>
    <t>Curaçao</t>
  </si>
  <si>
    <t>Viet Nam</t>
  </si>
  <si>
    <t>Norway</t>
  </si>
  <si>
    <t>Somalia</t>
  </si>
  <si>
    <t>Iceland</t>
  </si>
  <si>
    <t>Bahrain</t>
  </si>
  <si>
    <t>Georgia</t>
  </si>
  <si>
    <t>Lao People's Democratic Republic</t>
  </si>
  <si>
    <t>Nigeria</t>
  </si>
  <si>
    <t>Brunei Darussalam</t>
  </si>
  <si>
    <t>Burundi</t>
  </si>
  <si>
    <t>Chad</t>
  </si>
  <si>
    <t>Congo</t>
  </si>
  <si>
    <t>Rwanda</t>
  </si>
  <si>
    <t>Trinidad and Tobago</t>
  </si>
  <si>
    <t>El Salvador</t>
  </si>
  <si>
    <t>Albania</t>
  </si>
  <si>
    <t>Fiji</t>
  </si>
  <si>
    <t>Morocco</t>
  </si>
  <si>
    <t>Thailand</t>
  </si>
  <si>
    <t>Armenia</t>
  </si>
  <si>
    <t>Macedonia, North</t>
  </si>
  <si>
    <t>Angola</t>
  </si>
  <si>
    <t>Taipei, Chinese</t>
  </si>
  <si>
    <t>Haiti</t>
  </si>
  <si>
    <t>Indonesia</t>
  </si>
  <si>
    <t>Palestine, State of</t>
  </si>
  <si>
    <t>Senegal</t>
  </si>
  <si>
    <t>Falkland Islands (Malvinas)</t>
  </si>
  <si>
    <t>Burkina Faso</t>
  </si>
  <si>
    <t>United States Minor Outlying Islands</t>
  </si>
  <si>
    <t>Cameroon</t>
  </si>
  <si>
    <t>Mozambique</t>
  </si>
  <si>
    <t>Benin</t>
  </si>
  <si>
    <t>Iraq</t>
  </si>
  <si>
    <t>Malta</t>
  </si>
  <si>
    <t>Uzbekistan</t>
  </si>
  <si>
    <t>British Virgin Islands</t>
  </si>
  <si>
    <t>Sri Lanka</t>
  </si>
  <si>
    <t>Samoa</t>
  </si>
  <si>
    <t>Faroe Islands</t>
  </si>
  <si>
    <t>Gabon</t>
  </si>
  <si>
    <t>Jamaica</t>
  </si>
  <si>
    <t>Free Zones</t>
  </si>
  <si>
    <t>Tunisia</t>
  </si>
  <si>
    <t>Azerbaijan</t>
  </si>
  <si>
    <t>Mauritius</t>
  </si>
  <si>
    <t>Kyrgyzstan</t>
  </si>
  <si>
    <t>Sierra Leone</t>
  </si>
  <si>
    <t>Guinea</t>
  </si>
  <si>
    <t>Afghanistan</t>
  </si>
  <si>
    <t>Ecuador</t>
  </si>
  <si>
    <t>New Caledonia</t>
  </si>
  <si>
    <t>Lesotho</t>
  </si>
  <si>
    <t>Macao, China</t>
  </si>
  <si>
    <t>Yemen</t>
  </si>
  <si>
    <t>Saint Pierre and Miquelon</t>
  </si>
  <si>
    <t>Greenland</t>
  </si>
  <si>
    <t>Israel</t>
  </si>
  <si>
    <t>Hungary</t>
  </si>
  <si>
    <t>Cayman Islands</t>
  </si>
  <si>
    <t>American Samoa</t>
  </si>
  <si>
    <t>Aruba</t>
  </si>
  <si>
    <t>Niger</t>
  </si>
  <si>
    <t>Qatar</t>
  </si>
  <si>
    <t>Tajikistan</t>
  </si>
  <si>
    <t>Syrian Arab Republic</t>
  </si>
  <si>
    <t>Saint Kitts and Nevis</t>
  </si>
  <si>
    <t>Exportadores</t>
  </si>
  <si>
    <t>2016</t>
  </si>
  <si>
    <t>2017</t>
  </si>
  <si>
    <t>2019</t>
  </si>
  <si>
    <t>2020</t>
  </si>
  <si>
    <t>2021</t>
  </si>
  <si>
    <t>2023</t>
  </si>
  <si>
    <t>Mundo</t>
  </si>
  <si>
    <t>MUNDO</t>
  </si>
  <si>
    <t>Nueva Zelandia</t>
  </si>
  <si>
    <t>Polonia</t>
  </si>
  <si>
    <t>Irlanda</t>
  </si>
  <si>
    <t>Belarús</t>
  </si>
  <si>
    <t>Países Bajos</t>
  </si>
  <si>
    <t>Alemania</t>
  </si>
  <si>
    <t>España</t>
  </si>
  <si>
    <t>Italia</t>
  </si>
  <si>
    <t>Reino Unido</t>
  </si>
  <si>
    <t>Emiratos Árabes Unidos</t>
  </si>
  <si>
    <t>Ucrania</t>
  </si>
  <si>
    <t>Bélgica</t>
  </si>
  <si>
    <t>Sudáfrica</t>
  </si>
  <si>
    <t>Rusia, Federación de</t>
  </si>
  <si>
    <t>Dinamarca</t>
  </si>
  <si>
    <t>Singapur</t>
  </si>
  <si>
    <t>Bolivia, Estado Plurinacional de</t>
  </si>
  <si>
    <t>Botsuana</t>
  </si>
  <si>
    <t>Lituania</t>
  </si>
  <si>
    <t>Djibouti</t>
  </si>
  <si>
    <t>Pakistán</t>
  </si>
  <si>
    <t>Panamá</t>
  </si>
  <si>
    <t>Arabia Saudita</t>
  </si>
  <si>
    <t>Japón</t>
  </si>
  <si>
    <t>Jordania</t>
  </si>
  <si>
    <t>Rumania</t>
  </si>
  <si>
    <t>Malasia</t>
  </si>
  <si>
    <t>República Checa</t>
  </si>
  <si>
    <t>Moldova, República de</t>
  </si>
  <si>
    <t>Croacia</t>
  </si>
  <si>
    <t>Kazajstán</t>
  </si>
  <si>
    <t>Letonia</t>
  </si>
  <si>
    <t>República Dominicana</t>
  </si>
  <si>
    <t>Lao, República Democrática Popular</t>
  </si>
  <si>
    <t>Omán</t>
  </si>
  <si>
    <t>Finlandia</t>
  </si>
  <si>
    <t>Etiopía</t>
  </si>
  <si>
    <t>Corea, República de</t>
  </si>
  <si>
    <t>Grecia</t>
  </si>
  <si>
    <t>Suecia</t>
  </si>
  <si>
    <t>Eslovenia</t>
  </si>
  <si>
    <t>Eslovaquia</t>
  </si>
  <si>
    <t>Luxemburgo</t>
  </si>
  <si>
    <t>Egipto</t>
  </si>
  <si>
    <t>Tanzanía, República Unida de</t>
  </si>
  <si>
    <t>Bahrein</t>
  </si>
  <si>
    <t>Sudán</t>
  </si>
  <si>
    <t>Suiza</t>
  </si>
  <si>
    <t>Tailandia</t>
  </si>
  <si>
    <t>Guinea Ecuatorial</t>
  </si>
  <si>
    <t>Taipei Chino</t>
  </si>
  <si>
    <t>Trinidad y Tobago</t>
  </si>
  <si>
    <t>Líbano</t>
  </si>
  <si>
    <t>Camerún</t>
  </si>
  <si>
    <t>Palestina, Estado de</t>
  </si>
  <si>
    <t>Noruega</t>
  </si>
  <si>
    <t>Marruecos</t>
  </si>
  <si>
    <t>Ruanda</t>
  </si>
  <si>
    <t>Islas (Malvinas) Falkland</t>
  </si>
  <si>
    <t>Argelia</t>
  </si>
  <si>
    <t>Kirguistán</t>
  </si>
  <si>
    <t>Filipinas</t>
  </si>
  <si>
    <t>Islandia</t>
  </si>
  <si>
    <t>Irán, República Islámica del</t>
  </si>
  <si>
    <t>Zona franca</t>
  </si>
  <si>
    <t>Perú</t>
  </si>
  <si>
    <t>Chipre</t>
  </si>
  <si>
    <t>Macedonia del Norte</t>
  </si>
  <si>
    <t>Tayikistán</t>
  </si>
  <si>
    <t>Camboya</t>
  </si>
  <si>
    <t>Congo, República Democrática del</t>
  </si>
  <si>
    <t>Tokelau</t>
  </si>
  <si>
    <t>Pitcairn</t>
  </si>
  <si>
    <t>Azerbaiyán</t>
  </si>
  <si>
    <t>San Pedro y Miquelón</t>
  </si>
  <si>
    <t>Bosnia y Herzegovina</t>
  </si>
  <si>
    <t>Togo</t>
  </si>
  <si>
    <t>Malí</t>
  </si>
  <si>
    <t>Haití</t>
  </si>
  <si>
    <t>Mauricio</t>
  </si>
  <si>
    <t>Nueva Caledonia</t>
  </si>
  <si>
    <t>Groenlandia</t>
  </si>
  <si>
    <t>Polinesia Francesa</t>
  </si>
  <si>
    <t>Anguila</t>
  </si>
  <si>
    <t>Malawi</t>
  </si>
  <si>
    <t>Gambia</t>
  </si>
  <si>
    <t>Afganistán</t>
  </si>
  <si>
    <t>Gabón</t>
  </si>
  <si>
    <t>Seychelles</t>
  </si>
  <si>
    <t>Antigua y Barbuda</t>
  </si>
  <si>
    <t>Bahamas</t>
  </si>
  <si>
    <t>Islas Marshall</t>
  </si>
  <si>
    <t>Lesoto</t>
  </si>
  <si>
    <t>Suriname</t>
  </si>
  <si>
    <t>Venezuela, República Bolivariana de</t>
  </si>
  <si>
    <t>Samoa Americana</t>
  </si>
  <si>
    <t>Guyana</t>
  </si>
  <si>
    <t>Montserrat</t>
  </si>
  <si>
    <t>Estados Unidos Minor periferico Islas</t>
  </si>
  <si>
    <t>Islas Feroe</t>
  </si>
  <si>
    <t>Andorra</t>
  </si>
  <si>
    <t>Barbados</t>
  </si>
  <si>
    <t>Bermudas</t>
  </si>
  <si>
    <t>Islas Caimanes</t>
  </si>
  <si>
    <t>Hungría</t>
  </si>
  <si>
    <t>Dominica</t>
  </si>
  <si>
    <t>Santa Lucía</t>
  </si>
  <si>
    <t>República Árabe Siria</t>
  </si>
  <si>
    <t>Sierra Leona</t>
  </si>
  <si>
    <t>Santa Helena</t>
  </si>
  <si>
    <t>Gibraltar</t>
  </si>
  <si>
    <t>Kiribati</t>
  </si>
  <si>
    <t>Paises expatores de carne bovina.</t>
  </si>
  <si>
    <t>0201</t>
  </si>
  <si>
    <t>0202</t>
  </si>
  <si>
    <t xml:space="preserve">PAÍS </t>
  </si>
  <si>
    <t>Paises Bajos</t>
  </si>
  <si>
    <t>Gráfico 5 Principales países exportadores de carne bovina, fresca y congelada, año 2022</t>
  </si>
  <si>
    <t xml:space="preserve">TOTAL </t>
  </si>
  <si>
    <t>020110</t>
  </si>
  <si>
    <t>Importadores</t>
  </si>
  <si>
    <t>020120</t>
  </si>
  <si>
    <t>020130</t>
  </si>
  <si>
    <t>AÑO</t>
  </si>
  <si>
    <t>República de Corea</t>
  </si>
  <si>
    <t>Estados Unidos</t>
  </si>
  <si>
    <t>Carne bovina</t>
  </si>
  <si>
    <t>Variación (%)</t>
  </si>
  <si>
    <t>Absoluta</t>
  </si>
  <si>
    <t>Bolivia: Evolución de las exportaciones de carne bovina, en toneladas, período 2016-2022</t>
  </si>
  <si>
    <t>Bolivia:Crecimiento de las exportaciones de carne bovina, en miles de toneladas y porcentaje, período 2016-2022</t>
  </si>
  <si>
    <t>NANDINA</t>
  </si>
  <si>
    <t>Peso Bruto (Kg.)</t>
  </si>
  <si>
    <t>0201300000: CARNE DESHUESADA DE ANIMALES DE LA ESPECIE BOVINA, FRESCA O REFRIGERADA</t>
  </si>
  <si>
    <t>0201300090: LAS DEMAS CARNE DE ANIMALES DE LA ESPECIE BOVINA, FRESCA O REFRIGERADA</t>
  </si>
  <si>
    <t>0202300000: CARNE DESHUESADA DE ANIMALES DE LA ESPECIE BOVINA, CONGELADA</t>
  </si>
  <si>
    <t>0202300010: CARNE DE ANIMALES DE LA ESPECIE BOVINA, CONGELADA: TRIMMING</t>
  </si>
  <si>
    <t>0202300090:LAS DEMAS CARNE DESHUESADA DE ANIMALES DE LA ESPECIE BOVINA, CONGELADA</t>
  </si>
  <si>
    <t>1602500000: LAS DEMAS PREPARACIONES Y CONSERVAS DE CARNE,DESPOJOS O SANGRE,DE LA ESPECIE BOVINA</t>
  </si>
  <si>
    <t>FUENTE: Instituto Nacional de Estadística</t>
  </si>
  <si>
    <t>Carne fresca o refrigera</t>
  </si>
  <si>
    <t>Carne congelada</t>
  </si>
  <si>
    <t>Hamburguesa</t>
  </si>
  <si>
    <t>23,487,847</t>
  </si>
  <si>
    <t>22,748,008</t>
  </si>
  <si>
    <t>27,739,185</t>
  </si>
  <si>
    <t>28,741,867</t>
  </si>
  <si>
    <t>29,274,735</t>
  </si>
  <si>
    <t xml:space="preserve">valor exportado de carne fresca </t>
  </si>
  <si>
    <t>20,649,966</t>
  </si>
  <si>
    <t>22,010,852</t>
  </si>
  <si>
    <t>23,942,925</t>
  </si>
  <si>
    <t>0220 carne congelada</t>
  </si>
  <si>
    <t>0210 carne fresca</t>
  </si>
  <si>
    <t>TOTAL CARNE CONGELADA Y FRESCA</t>
  </si>
  <si>
    <t>Mil Ton</t>
  </si>
  <si>
    <t>Nueva Zelanda</t>
  </si>
  <si>
    <t>Mundo: Top 10 países exportadores de carne bovina fresca y congelada, en miles de toneladas, año 2023</t>
  </si>
  <si>
    <t>toneladas</t>
  </si>
  <si>
    <t>miles de tone</t>
  </si>
  <si>
    <t>país</t>
  </si>
  <si>
    <t>República del Congo</t>
  </si>
  <si>
    <t>Hong Kong</t>
  </si>
  <si>
    <t>Vietnam</t>
  </si>
  <si>
    <t>T O T A L</t>
  </si>
  <si>
    <r>
      <t>2016</t>
    </r>
    <r>
      <rPr>
        <sz val="11"/>
        <rFont val="Arial"/>
        <family val="2"/>
      </rPr>
      <t xml:space="preserve"> </t>
    </r>
  </si>
  <si>
    <r>
      <t>2020</t>
    </r>
    <r>
      <rPr>
        <sz val="11"/>
        <rFont val="Arial"/>
        <family val="2"/>
      </rPr>
      <t>(p)</t>
    </r>
  </si>
  <si>
    <r>
      <t>2021</t>
    </r>
    <r>
      <rPr>
        <sz val="11"/>
        <rFont val="Arial"/>
        <family val="2"/>
      </rPr>
      <t>(p)</t>
    </r>
  </si>
  <si>
    <r>
      <t>2022</t>
    </r>
    <r>
      <rPr>
        <sz val="11"/>
        <rFont val="Arial"/>
        <family val="2"/>
      </rPr>
      <t>(p)</t>
    </r>
  </si>
  <si>
    <r>
      <t>2023</t>
    </r>
    <r>
      <rPr>
        <sz val="11"/>
        <rFont val="Arial"/>
        <family val="2"/>
      </rPr>
      <t>(p)</t>
    </r>
  </si>
  <si>
    <t>MACHOS</t>
  </si>
  <si>
    <t>HEMBRAS</t>
  </si>
  <si>
    <t>BOLIVIA: HATO BOVINO, EN MILLONES, AÑO 2016-2023</t>
  </si>
  <si>
    <r>
      <t xml:space="preserve">2020 </t>
    </r>
    <r>
      <rPr>
        <sz val="11"/>
        <rFont val="Arial"/>
        <family val="2"/>
      </rPr>
      <t>(p)</t>
    </r>
  </si>
  <si>
    <r>
      <t xml:space="preserve">2021 </t>
    </r>
    <r>
      <rPr>
        <sz val="11"/>
        <rFont val="Arial"/>
        <family val="2"/>
      </rPr>
      <t>(p)</t>
    </r>
  </si>
  <si>
    <r>
      <t xml:space="preserve">2022 </t>
    </r>
    <r>
      <rPr>
        <sz val="11"/>
        <rFont val="Arial"/>
        <family val="2"/>
      </rPr>
      <t>(p)</t>
    </r>
  </si>
  <si>
    <r>
      <t xml:space="preserve">2023 </t>
    </r>
    <r>
      <rPr>
        <sz val="11"/>
        <rFont val="Arial"/>
        <family val="2"/>
      </rPr>
      <t>(p)</t>
    </r>
  </si>
  <si>
    <t>Mediano</t>
  </si>
  <si>
    <t>Grande</t>
  </si>
  <si>
    <t>Pequeña</t>
  </si>
  <si>
    <t>Bolivia; producción de Carne en kilogramos, año 2015-2023</t>
  </si>
  <si>
    <t>2021 (p)</t>
  </si>
  <si>
    <t>2022 (p)</t>
  </si>
  <si>
    <t>2023 (p)</t>
  </si>
  <si>
    <t>Principales países de destino de las exportaciones de carne bovina, en % sobre el volumen, período 2016-2023</t>
  </si>
  <si>
    <t>g</t>
  </si>
  <si>
    <t>Datos</t>
  </si>
  <si>
    <t>Country Name</t>
  </si>
  <si>
    <t>Suma de 2016</t>
  </si>
  <si>
    <t>Suma de 2017</t>
  </si>
  <si>
    <t>Suma de 2018</t>
  </si>
  <si>
    <t>Suma de 2019</t>
  </si>
  <si>
    <t>Suma de 2020</t>
  </si>
  <si>
    <t>Suma de 2021</t>
  </si>
  <si>
    <t>Suma de 2022</t>
  </si>
  <si>
    <t>Suma de 2023</t>
  </si>
  <si>
    <t xml:space="preserve">Países seleccionados: Producto Interno Bruto a precios constantes de 2015 de dólares. </t>
  </si>
  <si>
    <t>Período 2016-2023</t>
  </si>
  <si>
    <t>PIB (US$ a precios constantes de 2015, en millones de dólares)</t>
  </si>
  <si>
    <t>PAÍSES</t>
  </si>
  <si>
    <t>VOLUMEN</t>
  </si>
  <si>
    <t>ITI</t>
  </si>
  <si>
    <t>Evolución del Índice en Términos de Intercambio, período 2016-2023</t>
  </si>
  <si>
    <t>MUNDO: PRODUCCIÓN DE CARNE BOVINA FRESCA O REFRIGERADA, PERÍODO 2000-2023</t>
  </si>
  <si>
    <t>China, Continental</t>
  </si>
  <si>
    <t>MUNDO: RANKING DE PAÍSES PRODUCTORES DE CARNE BOVINA, EN TONELADAS, AÑOS 2014-2018-2023</t>
  </si>
  <si>
    <t>Cantidad</t>
  </si>
  <si>
    <t>Mundo: Exportaciones de Carne bovina fresca o refrigerada, año 2016-2024</t>
  </si>
  <si>
    <t xml:space="preserve"> Nov 2024</t>
  </si>
  <si>
    <t>2024</t>
  </si>
  <si>
    <t>TOTALES</t>
  </si>
  <si>
    <t>Mundo: Exportación de carne bovina congelada, en toneladas, año 2016 al mes de noviembre de 2024</t>
  </si>
  <si>
    <t>Mundo: Importación de carne bovina congelada, en toneladas, año 2016-2023</t>
  </si>
  <si>
    <t>Top 10 principales países importadores de carne bovina, fresca y congelada, en toneladas, año 2023</t>
  </si>
  <si>
    <t xml:space="preserve">Total producción: </t>
  </si>
  <si>
    <t>Mundo: Importación de carne bovina fresca o refrigerada, en toneladas, año 2016 al mes de noviembre de 2024</t>
  </si>
  <si>
    <t>2024 (p)</t>
  </si>
  <si>
    <t>Suma de Valor</t>
  </si>
  <si>
    <t>Año</t>
  </si>
  <si>
    <t>Área</t>
  </si>
  <si>
    <t>Bolivia (Estado Plurinacional de)</t>
  </si>
  <si>
    <t>Rendimiento del ganado bovino kg/carcasa, en Sud América, año 2014-2018-2023</t>
  </si>
  <si>
    <t>%</t>
  </si>
  <si>
    <t>Evolución de las exportaciones de carne bovina, en toneladas, período 2016 al mes de noviembre 2024</t>
  </si>
  <si>
    <t>TCRM</t>
  </si>
  <si>
    <t xml:space="preserve">Bolivia: Tipo de cambio real multilateral, período 2016-2023, </t>
  </si>
  <si>
    <t>base (agosto de 2003 = 100)</t>
  </si>
  <si>
    <t>2025 (p)</t>
  </si>
  <si>
    <t>Mis colores:</t>
  </si>
  <si>
    <t>#388E3C</t>
  </si>
  <si>
    <t>#81C784</t>
  </si>
  <si>
    <t>#1B5E20</t>
  </si>
  <si>
    <t>#E8F5E9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</si>
</sst>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"/>
    <numFmt numFmtId="165" formatCode="0.0%"/>
    <numFmt numFmtId="166" formatCode="_-* #,##0.00\ _€_-;\-* #,##0.00\ _€_-;_-* &quot;-&quot;??\ _€_-;_-@_-"/>
    <numFmt numFmtId="167" formatCode="_-* #,##0\ _€_-;\-* #,##0\ _€_-;_-* &quot;-&quot;??\ _€_-;_-@_-"/>
    <numFmt numFmtId="168" formatCode="_-* #,##0.0\ _€_-;\-* #,##0.0\ _€_-;_-* &quot;-&quot;??\ _€_-;_-@_-"/>
    <numFmt numFmtId="169" formatCode="_-* #,##0.0_-;\-* #,##0.0_-;_-* &quot;-&quot;??_-;_-@_-"/>
    <numFmt numFmtId="170" formatCode="########0.0"/>
  </numFmts>
  <fonts count="4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2"/>
      <color indexed="0"/>
      <name val="Arial"/>
      <family val="2"/>
    </font>
    <font>
      <b/>
      <sz val="8"/>
      <name val="Arial"/>
      <family val="2"/>
    </font>
    <font>
      <sz val="8"/>
      <color indexed="0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 Unicode MS"/>
    </font>
    <font>
      <sz val="10"/>
      <color theme="1"/>
      <name val="Arial Unicode MS"/>
    </font>
    <font>
      <sz val="9"/>
      <color rgb="FF8A2BE2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Times New Roman"/>
      <family val="1"/>
    </font>
    <font>
      <sz val="12"/>
      <color indexed="0"/>
      <name val="Arial"/>
      <family val="2"/>
    </font>
    <font>
      <sz val="8"/>
      <color theme="1"/>
      <name val="Calibri"/>
      <family val="2"/>
      <scheme val="minor"/>
    </font>
    <font>
      <b/>
      <i/>
      <sz val="12"/>
      <color rgb="FF000000"/>
      <name val="Times New Roman"/>
      <family val="1"/>
    </font>
    <font>
      <b/>
      <sz val="12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8.8000000000000007"/>
      <color rgb="FF000000"/>
      <name val="Verdana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E8F5E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17223D"/>
      </left>
      <right style="thin">
        <color rgb="FF17223D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9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0" borderId="0">
      <alignment vertical="top"/>
      <protection locked="0"/>
    </xf>
    <xf numFmtId="0" fontId="18" fillId="0" borderId="0"/>
    <xf numFmtId="0" fontId="8" fillId="0" borderId="0"/>
    <xf numFmtId="0" fontId="20" fillId="0" borderId="0"/>
    <xf numFmtId="9" fontId="20" fillId="0" borderId="0" applyFont="0" applyFill="0" applyBorder="0" applyAlignment="0" applyProtection="0"/>
    <xf numFmtId="0" fontId="5" fillId="0" borderId="0"/>
    <xf numFmtId="9" fontId="18" fillId="0" borderId="0" applyFont="0" applyFill="0" applyBorder="0" applyAlignment="0" applyProtection="0"/>
    <xf numFmtId="0" fontId="3" fillId="0" borderId="0"/>
    <xf numFmtId="166" fontId="8" fillId="0" borderId="0" applyFont="0" applyFill="0" applyBorder="0" applyAlignment="0" applyProtection="0"/>
    <xf numFmtId="0" fontId="38" fillId="0" borderId="0">
      <alignment vertical="top"/>
      <protection locked="0"/>
    </xf>
    <xf numFmtId="43" fontId="8" fillId="0" borderId="0" applyFont="0" applyFill="0" applyBorder="0" applyAlignment="0" applyProtection="0"/>
  </cellStyleXfs>
  <cellXfs count="196">
    <xf numFmtId="0" fontId="0" fillId="0" borderId="0" xfId="0"/>
    <xf numFmtId="0" fontId="10" fillId="0" borderId="0" xfId="2" applyFont="1"/>
    <xf numFmtId="0" fontId="11" fillId="0" borderId="1" xfId="2" applyFont="1" applyBorder="1"/>
    <xf numFmtId="0" fontId="10" fillId="0" borderId="1" xfId="2" applyFont="1" applyBorder="1"/>
    <xf numFmtId="3" fontId="10" fillId="0" borderId="1" xfId="2" applyNumberFormat="1" applyFont="1" applyBorder="1"/>
    <xf numFmtId="3" fontId="10" fillId="0" borderId="0" xfId="2" applyNumberFormat="1" applyFont="1"/>
    <xf numFmtId="9" fontId="10" fillId="0" borderId="0" xfId="3" applyFont="1"/>
    <xf numFmtId="164" fontId="10" fillId="0" borderId="0" xfId="2" applyNumberFormat="1" applyFont="1"/>
    <xf numFmtId="4" fontId="10" fillId="0" borderId="0" xfId="2" applyNumberFormat="1" applyFont="1"/>
    <xf numFmtId="3" fontId="13" fillId="0" borderId="1" xfId="4" applyNumberFormat="1" applyFont="1" applyBorder="1" applyAlignment="1" applyProtection="1"/>
    <xf numFmtId="0" fontId="14" fillId="0" borderId="0" xfId="4" applyFont="1" applyAlignment="1" applyProtection="1"/>
    <xf numFmtId="3" fontId="13" fillId="0" borderId="2" xfId="4" applyNumberFormat="1" applyFont="1" applyBorder="1" applyAlignment="1" applyProtection="1"/>
    <xf numFmtId="3" fontId="15" fillId="0" borderId="1" xfId="4" applyNumberFormat="1" applyFont="1" applyBorder="1" applyAlignment="1" applyProtection="1"/>
    <xf numFmtId="164" fontId="15" fillId="0" borderId="1" xfId="4" applyNumberFormat="1" applyFont="1" applyBorder="1" applyAlignment="1" applyProtection="1"/>
    <xf numFmtId="3" fontId="15" fillId="0" borderId="3" xfId="4" applyNumberFormat="1" applyFont="1" applyBorder="1" applyAlignment="1" applyProtection="1"/>
    <xf numFmtId="3" fontId="15" fillId="0" borderId="0" xfId="4" applyNumberFormat="1" applyFont="1" applyAlignment="1" applyProtection="1"/>
    <xf numFmtId="10" fontId="14" fillId="0" borderId="0" xfId="4" applyNumberFormat="1" applyFont="1" applyAlignment="1" applyProtection="1"/>
    <xf numFmtId="3" fontId="15" fillId="0" borderId="1" xfId="4" applyNumberFormat="1" applyFont="1" applyBorder="1" applyAlignment="1" applyProtection="1">
      <alignment horizontal="center"/>
    </xf>
    <xf numFmtId="3" fontId="15" fillId="0" borderId="0" xfId="4" applyNumberFormat="1" applyFont="1" applyAlignment="1" applyProtection="1">
      <alignment horizontal="center"/>
    </xf>
    <xf numFmtId="0" fontId="13" fillId="0" borderId="1" xfId="4" applyFont="1" applyBorder="1" applyAlignment="1" applyProtection="1"/>
    <xf numFmtId="0" fontId="15" fillId="0" borderId="1" xfId="4" applyFont="1" applyBorder="1" applyAlignment="1" applyProtection="1"/>
    <xf numFmtId="165" fontId="15" fillId="0" borderId="1" xfId="4" applyNumberFormat="1" applyFont="1" applyBorder="1" applyAlignment="1" applyProtection="1">
      <alignment horizontal="center"/>
    </xf>
    <xf numFmtId="0" fontId="14" fillId="0" borderId="1" xfId="4" applyFont="1" applyBorder="1" applyAlignment="1" applyProtection="1"/>
    <xf numFmtId="3" fontId="14" fillId="0" borderId="1" xfId="4" applyNumberFormat="1" applyFont="1" applyBorder="1" applyAlignment="1" applyProtection="1"/>
    <xf numFmtId="165" fontId="14" fillId="0" borderId="0" xfId="4" applyNumberFormat="1" applyFont="1" applyAlignment="1" applyProtection="1"/>
    <xf numFmtId="3" fontId="11" fillId="2" borderId="1" xfId="2" applyNumberFormat="1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/>
    </xf>
    <xf numFmtId="0" fontId="7" fillId="0" borderId="0" xfId="2"/>
    <xf numFmtId="3" fontId="7" fillId="0" borderId="0" xfId="2" applyNumberFormat="1"/>
    <xf numFmtId="9" fontId="0" fillId="0" borderId="0" xfId="3" applyFont="1"/>
    <xf numFmtId="3" fontId="16" fillId="0" borderId="0" xfId="2" applyNumberFormat="1" applyFont="1"/>
    <xf numFmtId="0" fontId="11" fillId="2" borderId="4" xfId="2" applyFont="1" applyFill="1" applyBorder="1"/>
    <xf numFmtId="0" fontId="11" fillId="2" borderId="5" xfId="2" applyFont="1" applyFill="1" applyBorder="1"/>
    <xf numFmtId="0" fontId="11" fillId="2" borderId="6" xfId="2" applyFont="1" applyFill="1" applyBorder="1"/>
    <xf numFmtId="3" fontId="11" fillId="0" borderId="7" xfId="2" applyNumberFormat="1" applyFont="1" applyBorder="1"/>
    <xf numFmtId="3" fontId="11" fillId="0" borderId="1" xfId="2" applyNumberFormat="1" applyFont="1" applyBorder="1"/>
    <xf numFmtId="3" fontId="11" fillId="0" borderId="8" xfId="2" applyNumberFormat="1" applyFont="1" applyBorder="1"/>
    <xf numFmtId="3" fontId="10" fillId="0" borderId="5" xfId="2" applyNumberFormat="1" applyFont="1" applyBorder="1"/>
    <xf numFmtId="3" fontId="10" fillId="0" borderId="7" xfId="2" applyNumberFormat="1" applyFont="1" applyBorder="1"/>
    <xf numFmtId="3" fontId="10" fillId="0" borderId="8" xfId="2" applyNumberFormat="1" applyFont="1" applyBorder="1"/>
    <xf numFmtId="3" fontId="10" fillId="0" borderId="9" xfId="2" applyNumberFormat="1" applyFont="1" applyBorder="1"/>
    <xf numFmtId="3" fontId="10" fillId="0" borderId="3" xfId="2" applyNumberFormat="1" applyFont="1" applyBorder="1"/>
    <xf numFmtId="3" fontId="10" fillId="0" borderId="10" xfId="2" applyNumberFormat="1" applyFont="1" applyBorder="1"/>
    <xf numFmtId="49" fontId="10" fillId="0" borderId="0" xfId="2" applyNumberFormat="1" applyFont="1"/>
    <xf numFmtId="49" fontId="10" fillId="0" borderId="0" xfId="2" applyNumberFormat="1" applyFont="1" applyAlignment="1">
      <alignment horizontal="center"/>
    </xf>
    <xf numFmtId="0" fontId="11" fillId="0" borderId="0" xfId="2" applyFont="1"/>
    <xf numFmtId="0" fontId="17" fillId="0" borderId="0" xfId="2" applyFont="1" applyAlignment="1">
      <alignment horizontal="center" vertical="center"/>
    </xf>
    <xf numFmtId="0" fontId="9" fillId="2" borderId="1" xfId="2" applyFont="1" applyFill="1" applyBorder="1"/>
    <xf numFmtId="0" fontId="7" fillId="2" borderId="1" xfId="2" applyFill="1" applyBorder="1"/>
    <xf numFmtId="0" fontId="7" fillId="0" borderId="1" xfId="2" applyBorder="1"/>
    <xf numFmtId="3" fontId="7" fillId="0" borderId="1" xfId="2" applyNumberFormat="1" applyBorder="1"/>
    <xf numFmtId="49" fontId="7" fillId="0" borderId="0" xfId="2" applyNumberFormat="1"/>
    <xf numFmtId="0" fontId="18" fillId="0" borderId="0" xfId="5"/>
    <xf numFmtId="3" fontId="18" fillId="0" borderId="0" xfId="5" applyNumberFormat="1"/>
    <xf numFmtId="0" fontId="8" fillId="0" borderId="0" xfId="6"/>
    <xf numFmtId="164" fontId="8" fillId="0" borderId="0" xfId="6" applyNumberFormat="1"/>
    <xf numFmtId="0" fontId="20" fillId="0" borderId="0" xfId="7"/>
    <xf numFmtId="0" fontId="21" fillId="2" borderId="1" xfId="7" applyFont="1" applyFill="1" applyBorder="1" applyAlignment="1">
      <alignment horizontal="center"/>
    </xf>
    <xf numFmtId="3" fontId="22" fillId="0" borderId="1" xfId="7" applyNumberFormat="1" applyFont="1" applyBorder="1" applyAlignment="1">
      <alignment horizontal="center"/>
    </xf>
    <xf numFmtId="0" fontId="22" fillId="0" borderId="1" xfId="7" applyFont="1" applyBorder="1"/>
    <xf numFmtId="0" fontId="22" fillId="0" borderId="1" xfId="7" applyFont="1" applyBorder="1" applyAlignment="1">
      <alignment horizontal="center"/>
    </xf>
    <xf numFmtId="9" fontId="22" fillId="0" borderId="1" xfId="8" applyFont="1" applyBorder="1" applyAlignment="1">
      <alignment horizontal="center"/>
    </xf>
    <xf numFmtId="164" fontId="22" fillId="0" borderId="1" xfId="7" applyNumberFormat="1" applyFont="1" applyBorder="1" applyAlignment="1">
      <alignment horizontal="center"/>
    </xf>
    <xf numFmtId="3" fontId="22" fillId="0" borderId="1" xfId="7" applyNumberFormat="1" applyFont="1" applyBorder="1" applyAlignment="1">
      <alignment horizontal="center" vertical="top"/>
    </xf>
    <xf numFmtId="0" fontId="23" fillId="4" borderId="17" xfId="2" applyFont="1" applyFill="1" applyBorder="1" applyAlignment="1">
      <alignment horizontal="center" vertical="center"/>
    </xf>
    <xf numFmtId="0" fontId="23" fillId="5" borderId="18" xfId="2" applyFont="1" applyFill="1" applyBorder="1" applyAlignment="1">
      <alignment horizontal="left" vertical="center"/>
    </xf>
    <xf numFmtId="0" fontId="23" fillId="6" borderId="19" xfId="2" applyFont="1" applyFill="1" applyBorder="1" applyAlignment="1">
      <alignment horizontal="left" vertical="top"/>
    </xf>
    <xf numFmtId="3" fontId="24" fillId="4" borderId="18" xfId="2" applyNumberFormat="1" applyFont="1" applyFill="1" applyBorder="1" applyAlignment="1">
      <alignment horizontal="right" vertical="top"/>
    </xf>
    <xf numFmtId="0" fontId="7" fillId="4" borderId="18" xfId="2" applyFill="1" applyBorder="1" applyAlignment="1">
      <alignment horizontal="right" vertical="top"/>
    </xf>
    <xf numFmtId="0" fontId="23" fillId="5" borderId="19" xfId="2" applyFont="1" applyFill="1" applyBorder="1" applyAlignment="1">
      <alignment horizontal="left" vertical="top"/>
    </xf>
    <xf numFmtId="0" fontId="23" fillId="5" borderId="18" xfId="2" applyFont="1" applyFill="1" applyBorder="1" applyAlignment="1">
      <alignment horizontal="left" vertical="top"/>
    </xf>
    <xf numFmtId="0" fontId="24" fillId="0" borderId="0" xfId="2" applyFont="1"/>
    <xf numFmtId="9" fontId="7" fillId="0" borderId="1" xfId="1" applyFont="1" applyBorder="1" applyAlignment="1">
      <alignment horizontal="center"/>
    </xf>
    <xf numFmtId="0" fontId="9" fillId="2" borderId="1" xfId="2" applyFont="1" applyFill="1" applyBorder="1" applyAlignment="1">
      <alignment horizontal="left"/>
    </xf>
    <xf numFmtId="0" fontId="7" fillId="2" borderId="1" xfId="2" applyFill="1" applyBorder="1" applyAlignment="1">
      <alignment horizontal="left"/>
    </xf>
    <xf numFmtId="0" fontId="6" fillId="0" borderId="0" xfId="2" applyFont="1"/>
    <xf numFmtId="0" fontId="25" fillId="7" borderId="20" xfId="0" applyFont="1" applyFill="1" applyBorder="1" applyAlignment="1">
      <alignment horizontal="right" vertical="center" wrapText="1"/>
    </xf>
    <xf numFmtId="9" fontId="0" fillId="0" borderId="1" xfId="3" applyFont="1" applyBorder="1"/>
    <xf numFmtId="0" fontId="22" fillId="0" borderId="1" xfId="2" applyFont="1" applyBorder="1"/>
    <xf numFmtId="0" fontId="22" fillId="0" borderId="1" xfId="0" applyFont="1" applyBorder="1"/>
    <xf numFmtId="3" fontId="22" fillId="0" borderId="1" xfId="2" applyNumberFormat="1" applyFont="1" applyBorder="1"/>
    <xf numFmtId="49" fontId="10" fillId="0" borderId="1" xfId="2" applyNumberFormat="1" applyFont="1" applyBorder="1"/>
    <xf numFmtId="0" fontId="22" fillId="0" borderId="0" xfId="2" applyFont="1"/>
    <xf numFmtId="0" fontId="22" fillId="0" borderId="0" xfId="0" applyFont="1"/>
    <xf numFmtId="3" fontId="22" fillId="0" borderId="0" xfId="2" applyNumberFormat="1" applyFont="1"/>
    <xf numFmtId="0" fontId="5" fillId="0" borderId="0" xfId="9"/>
    <xf numFmtId="3" fontId="5" fillId="0" borderId="0" xfId="9" applyNumberFormat="1"/>
    <xf numFmtId="9" fontId="5" fillId="0" borderId="0" xfId="1" applyFont="1"/>
    <xf numFmtId="9" fontId="0" fillId="0" borderId="0" xfId="10" applyFont="1"/>
    <xf numFmtId="0" fontId="26" fillId="8" borderId="1" xfId="7" applyFont="1" applyFill="1" applyBorder="1" applyAlignment="1">
      <alignment horizontal="center"/>
    </xf>
    <xf numFmtId="0" fontId="21" fillId="0" borderId="1" xfId="7" applyFont="1" applyBorder="1" applyAlignment="1">
      <alignment horizontal="center"/>
    </xf>
    <xf numFmtId="3" fontId="24" fillId="4" borderId="18" xfId="0" applyNumberFormat="1" applyFont="1" applyFill="1" applyBorder="1" applyAlignment="1">
      <alignment horizontal="right" vertical="top"/>
    </xf>
    <xf numFmtId="0" fontId="4" fillId="0" borderId="1" xfId="2" applyFont="1" applyBorder="1"/>
    <xf numFmtId="0" fontId="23" fillId="5" borderId="1" xfId="2" applyFont="1" applyFill="1" applyBorder="1" applyAlignment="1">
      <alignment horizontal="left" vertical="center"/>
    </xf>
    <xf numFmtId="9" fontId="7" fillId="0" borderId="1" xfId="2" applyNumberFormat="1" applyBorder="1" applyAlignment="1">
      <alignment horizontal="center"/>
    </xf>
    <xf numFmtId="9" fontId="20" fillId="0" borderId="0" xfId="7" applyNumberFormat="1"/>
    <xf numFmtId="0" fontId="3" fillId="0" borderId="0" xfId="11"/>
    <xf numFmtId="0" fontId="27" fillId="3" borderId="21" xfId="0" applyFont="1" applyFill="1" applyBorder="1" applyAlignment="1">
      <alignment vertical="center" wrapText="1"/>
    </xf>
    <xf numFmtId="167" fontId="19" fillId="3" borderId="21" xfId="12" applyNumberFormat="1" applyFont="1" applyFill="1" applyBorder="1" applyAlignment="1" applyProtection="1">
      <alignment vertical="center"/>
    </xf>
    <xf numFmtId="49" fontId="28" fillId="9" borderId="22" xfId="12" applyNumberFormat="1" applyFont="1" applyFill="1" applyBorder="1" applyAlignment="1" applyProtection="1">
      <alignment horizontal="right"/>
    </xf>
    <xf numFmtId="167" fontId="30" fillId="10" borderId="22" xfId="12" applyNumberFormat="1" applyFont="1" applyFill="1" applyBorder="1" applyProtection="1"/>
    <xf numFmtId="49" fontId="28" fillId="9" borderId="23" xfId="12" applyNumberFormat="1" applyFont="1" applyFill="1" applyBorder="1" applyAlignment="1" applyProtection="1">
      <alignment horizontal="right"/>
    </xf>
    <xf numFmtId="167" fontId="30" fillId="10" borderId="24" xfId="12" applyNumberFormat="1" applyFont="1" applyFill="1" applyBorder="1" applyProtection="1"/>
    <xf numFmtId="49" fontId="28" fillId="9" borderId="5" xfId="12" applyNumberFormat="1" applyFont="1" applyFill="1" applyBorder="1" applyAlignment="1" applyProtection="1">
      <alignment horizontal="right"/>
    </xf>
    <xf numFmtId="167" fontId="30" fillId="10" borderId="4" xfId="12" applyNumberFormat="1" applyFont="1" applyFill="1" applyBorder="1" applyProtection="1"/>
    <xf numFmtId="167" fontId="27" fillId="3" borderId="21" xfId="12" applyNumberFormat="1" applyFont="1" applyFill="1" applyBorder="1" applyAlignment="1" applyProtection="1">
      <alignment vertical="center" wrapText="1"/>
    </xf>
    <xf numFmtId="168" fontId="30" fillId="10" borderId="22" xfId="12" applyNumberFormat="1" applyFont="1" applyFill="1" applyBorder="1" applyProtection="1"/>
    <xf numFmtId="167" fontId="28" fillId="9" borderId="22" xfId="12" applyNumberFormat="1" applyFont="1" applyFill="1" applyBorder="1" applyProtection="1"/>
    <xf numFmtId="167" fontId="28" fillId="9" borderId="24" xfId="12" applyNumberFormat="1" applyFont="1" applyFill="1" applyBorder="1" applyProtection="1"/>
    <xf numFmtId="167" fontId="28" fillId="9" borderId="4" xfId="12" applyNumberFormat="1" applyFont="1" applyFill="1" applyBorder="1" applyProtection="1"/>
    <xf numFmtId="167" fontId="0" fillId="0" borderId="0" xfId="0" applyNumberFormat="1"/>
    <xf numFmtId="9" fontId="0" fillId="0" borderId="0" xfId="1" applyFont="1"/>
    <xf numFmtId="0" fontId="0" fillId="11" borderId="1" xfId="0" applyFill="1" applyBorder="1" applyAlignment="1">
      <alignment horizontal="center"/>
    </xf>
    <xf numFmtId="167" fontId="30" fillId="11" borderId="1" xfId="12" applyNumberFormat="1" applyFont="1" applyFill="1" applyBorder="1" applyAlignment="1" applyProtection="1">
      <alignment horizontal="center"/>
    </xf>
    <xf numFmtId="168" fontId="30" fillId="11" borderId="1" xfId="12" applyNumberFormat="1" applyFont="1" applyFill="1" applyBorder="1" applyAlignment="1" applyProtection="1">
      <alignment horizontal="right"/>
    </xf>
    <xf numFmtId="165" fontId="0" fillId="0" borderId="0" xfId="1" applyNumberFormat="1" applyFont="1" applyAlignment="1">
      <alignment horizontal="center"/>
    </xf>
    <xf numFmtId="165" fontId="0" fillId="0" borderId="0" xfId="0" applyNumberFormat="1"/>
    <xf numFmtId="0" fontId="33" fillId="0" borderId="0" xfId="0" applyFont="1"/>
    <xf numFmtId="0" fontId="32" fillId="12" borderId="1" xfId="11" applyFont="1" applyFill="1" applyBorder="1" applyAlignment="1">
      <alignment horizontal="center" wrapText="1"/>
    </xf>
    <xf numFmtId="0" fontId="3" fillId="0" borderId="0" xfId="11" applyAlignment="1">
      <alignment wrapText="1"/>
    </xf>
    <xf numFmtId="0" fontId="16" fillId="0" borderId="1" xfId="11" applyFont="1" applyBorder="1" applyAlignment="1">
      <alignment horizontal="justify" vertical="center" wrapText="1"/>
    </xf>
    <xf numFmtId="3" fontId="3" fillId="0" borderId="1" xfId="11" applyNumberFormat="1" applyBorder="1" applyAlignment="1">
      <alignment horizontal="center" wrapText="1"/>
    </xf>
    <xf numFmtId="3" fontId="3" fillId="0" borderId="1" xfId="11" applyNumberFormat="1" applyBorder="1" applyAlignment="1">
      <alignment wrapText="1"/>
    </xf>
    <xf numFmtId="9" fontId="3" fillId="0" borderId="0" xfId="1" applyFont="1" applyAlignment="1">
      <alignment wrapText="1"/>
    </xf>
    <xf numFmtId="0" fontId="16" fillId="0" borderId="1" xfId="11" applyFont="1" applyBorder="1" applyAlignment="1">
      <alignment horizontal="left" vertical="center"/>
    </xf>
    <xf numFmtId="3" fontId="0" fillId="0" borderId="25" xfId="0" applyNumberFormat="1" applyBorder="1"/>
    <xf numFmtId="3" fontId="0" fillId="0" borderId="26" xfId="0" applyNumberFormat="1" applyBorder="1"/>
    <xf numFmtId="3" fontId="0" fillId="0" borderId="27" xfId="0" applyNumberFormat="1" applyBorder="1"/>
    <xf numFmtId="3" fontId="0" fillId="0" borderId="28" xfId="0" applyNumberFormat="1" applyBorder="1"/>
    <xf numFmtId="3" fontId="0" fillId="0" borderId="29" xfId="0" applyNumberFormat="1" applyBorder="1"/>
    <xf numFmtId="3" fontId="0" fillId="0" borderId="30" xfId="0" applyNumberFormat="1" applyBorder="1"/>
    <xf numFmtId="3" fontId="0" fillId="0" borderId="0" xfId="0" applyNumberFormat="1"/>
    <xf numFmtId="3" fontId="0" fillId="0" borderId="31" xfId="0" applyNumberFormat="1" applyBorder="1"/>
    <xf numFmtId="3" fontId="0" fillId="0" borderId="32" xfId="0" applyNumberFormat="1" applyBorder="1"/>
    <xf numFmtId="3" fontId="0" fillId="0" borderId="33" xfId="0" applyNumberFormat="1" applyBorder="1"/>
    <xf numFmtId="3" fontId="0" fillId="0" borderId="34" xfId="0" applyNumberFormat="1" applyBorder="1"/>
    <xf numFmtId="3" fontId="34" fillId="0" borderId="0" xfId="0" applyNumberFormat="1" applyFont="1"/>
    <xf numFmtId="0" fontId="34" fillId="0" borderId="0" xfId="0" applyFont="1"/>
    <xf numFmtId="0" fontId="34" fillId="13" borderId="1" xfId="0" applyFont="1" applyFill="1" applyBorder="1" applyAlignment="1">
      <alignment horizontal="center"/>
    </xf>
    <xf numFmtId="3" fontId="34" fillId="13" borderId="1" xfId="0" applyNumberFormat="1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3" fontId="0" fillId="0" borderId="1" xfId="0" applyNumberFormat="1" applyBorder="1"/>
    <xf numFmtId="0" fontId="34" fillId="0" borderId="0" xfId="0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9" fillId="0" borderId="1" xfId="11" applyFont="1" applyBorder="1" applyAlignment="1">
      <alignment horizontal="center"/>
    </xf>
    <xf numFmtId="0" fontId="35" fillId="0" borderId="0" xfId="0" applyFont="1"/>
    <xf numFmtId="0" fontId="36" fillId="14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4" fontId="37" fillId="0" borderId="1" xfId="0" applyNumberFormat="1" applyFont="1" applyBorder="1" applyAlignment="1">
      <alignment horizontal="center" vertical="center"/>
    </xf>
    <xf numFmtId="0" fontId="39" fillId="0" borderId="0" xfId="0" applyFont="1"/>
    <xf numFmtId="164" fontId="15" fillId="0" borderId="3" xfId="4" applyNumberFormat="1" applyFont="1" applyBorder="1" applyAlignment="1" applyProtection="1"/>
    <xf numFmtId="9" fontId="12" fillId="0" borderId="0" xfId="1" applyFont="1" applyAlignment="1" applyProtection="1">
      <alignment vertical="top"/>
      <protection locked="0"/>
    </xf>
    <xf numFmtId="0" fontId="2" fillId="0" borderId="0" xfId="2" applyFont="1"/>
    <xf numFmtId="0" fontId="40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65" fontId="18" fillId="0" borderId="0" xfId="1" applyNumberFormat="1" applyFont="1"/>
    <xf numFmtId="169" fontId="8" fillId="0" borderId="0" xfId="14" applyNumberFormat="1" applyAlignment="1">
      <alignment horizontal="center"/>
    </xf>
    <xf numFmtId="0" fontId="12" fillId="0" borderId="25" xfId="4" applyBorder="1" applyAlignment="1" applyProtection="1"/>
    <xf numFmtId="0" fontId="12" fillId="0" borderId="26" xfId="4" applyBorder="1" applyAlignment="1" applyProtection="1"/>
    <xf numFmtId="0" fontId="12" fillId="0" borderId="27" xfId="4" applyBorder="1" applyAlignment="1" applyProtection="1"/>
    <xf numFmtId="0" fontId="12" fillId="0" borderId="0" xfId="4" applyAlignment="1" applyProtection="1"/>
    <xf numFmtId="0" fontId="12" fillId="0" borderId="28" xfId="4" applyBorder="1" applyAlignment="1" applyProtection="1"/>
    <xf numFmtId="0" fontId="12" fillId="0" borderId="35" xfId="4" applyBorder="1" applyAlignment="1" applyProtection="1"/>
    <xf numFmtId="0" fontId="12" fillId="0" borderId="30" xfId="4" applyBorder="1" applyAlignment="1" applyProtection="1"/>
    <xf numFmtId="0" fontId="12" fillId="0" borderId="36" xfId="4" applyBorder="1" applyAlignment="1" applyProtection="1"/>
    <xf numFmtId="0" fontId="12" fillId="0" borderId="32" xfId="4" applyBorder="1" applyAlignment="1" applyProtection="1"/>
    <xf numFmtId="0" fontId="12" fillId="0" borderId="33" xfId="4" applyBorder="1" applyAlignment="1" applyProtection="1"/>
    <xf numFmtId="0" fontId="12" fillId="0" borderId="37" xfId="4" applyBorder="1" applyAlignment="1" applyProtection="1"/>
    <xf numFmtId="0" fontId="41" fillId="2" borderId="1" xfId="4" applyFont="1" applyFill="1" applyBorder="1" applyAlignment="1" applyProtection="1">
      <alignment horizontal="center"/>
    </xf>
    <xf numFmtId="0" fontId="12" fillId="0" borderId="1" xfId="4" applyBorder="1" applyAlignment="1" applyProtection="1">
      <alignment horizontal="left"/>
    </xf>
    <xf numFmtId="3" fontId="12" fillId="0" borderId="1" xfId="4" applyNumberFormat="1" applyBorder="1" applyAlignment="1" applyProtection="1">
      <alignment horizontal="center"/>
    </xf>
    <xf numFmtId="0" fontId="40" fillId="0" borderId="0" xfId="0" applyFont="1" applyAlignment="1">
      <alignment horizontal="left" vertical="center"/>
    </xf>
    <xf numFmtId="3" fontId="3" fillId="0" borderId="0" xfId="11" applyNumberFormat="1"/>
    <xf numFmtId="9" fontId="3" fillId="0" borderId="0" xfId="1" applyFont="1"/>
    <xf numFmtId="0" fontId="1" fillId="0" borderId="0" xfId="11" applyFont="1"/>
    <xf numFmtId="3" fontId="20" fillId="0" borderId="0" xfId="7" applyNumberFormat="1"/>
    <xf numFmtId="165" fontId="5" fillId="0" borderId="0" xfId="1" applyNumberFormat="1" applyFont="1"/>
    <xf numFmtId="165" fontId="5" fillId="0" borderId="0" xfId="9" applyNumberFormat="1"/>
    <xf numFmtId="0" fontId="42" fillId="15" borderId="38" xfId="0" applyFont="1" applyFill="1" applyBorder="1" applyAlignment="1">
      <alignment horizontal="center" vertical="center"/>
    </xf>
    <xf numFmtId="0" fontId="42" fillId="15" borderId="39" xfId="0" applyFont="1" applyFill="1" applyBorder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49" fontId="9" fillId="2" borderId="1" xfId="2" applyNumberFormat="1" applyFont="1" applyFill="1" applyBorder="1" applyAlignment="1">
      <alignment horizontal="center" vertical="center"/>
    </xf>
    <xf numFmtId="49" fontId="7" fillId="0" borderId="1" xfId="2" applyNumberFormat="1" applyBorder="1" applyAlignment="1">
      <alignment horizontal="center"/>
    </xf>
    <xf numFmtId="0" fontId="19" fillId="3" borderId="16" xfId="6" applyFont="1" applyFill="1" applyBorder="1" applyAlignment="1">
      <alignment horizontal="center" vertical="center" wrapText="1"/>
    </xf>
    <xf numFmtId="0" fontId="19" fillId="3" borderId="0" xfId="6" applyFont="1" applyFill="1" applyAlignment="1">
      <alignment horizontal="center" vertical="center" wrapText="1"/>
    </xf>
    <xf numFmtId="0" fontId="19" fillId="3" borderId="11" xfId="6" applyFont="1" applyFill="1" applyBorder="1" applyAlignment="1">
      <alignment horizontal="center" vertical="center" wrapText="1"/>
    </xf>
    <xf numFmtId="0" fontId="19" fillId="3" borderId="12" xfId="6" applyFont="1" applyFill="1" applyBorder="1" applyAlignment="1">
      <alignment horizontal="center" vertical="center" wrapText="1"/>
    </xf>
    <xf numFmtId="0" fontId="19" fillId="3" borderId="13" xfId="6" applyFont="1" applyFill="1" applyBorder="1" applyAlignment="1">
      <alignment horizontal="center" vertical="center" wrapText="1"/>
    </xf>
    <xf numFmtId="0" fontId="19" fillId="3" borderId="14" xfId="6" applyFont="1" applyFill="1" applyBorder="1" applyAlignment="1">
      <alignment horizontal="center" vertical="center" wrapText="1"/>
    </xf>
    <xf numFmtId="0" fontId="19" fillId="3" borderId="15" xfId="6" applyFont="1" applyFill="1" applyBorder="1" applyAlignment="1">
      <alignment horizontal="center" vertical="center" wrapText="1"/>
    </xf>
    <xf numFmtId="0" fontId="44" fillId="6" borderId="18" xfId="0" applyFont="1" applyFill="1" applyBorder="1" applyAlignment="1">
      <alignment horizontal="right" vertical="center"/>
    </xf>
    <xf numFmtId="0" fontId="20" fillId="16" borderId="0" xfId="7" applyFill="1"/>
    <xf numFmtId="0" fontId="20" fillId="17" borderId="0" xfId="7" applyFill="1"/>
    <xf numFmtId="0" fontId="20" fillId="18" borderId="0" xfId="7" applyFill="1"/>
    <xf numFmtId="0" fontId="20" fillId="19" borderId="0" xfId="7" applyFill="1"/>
  </cellXfs>
  <cellStyles count="15">
    <cellStyle name="Millares" xfId="14" builtinId="3"/>
    <cellStyle name="Millares 2" xfId="12" xr:uid="{87CA9B09-DBAF-49AA-9657-02125CE6654F}"/>
    <cellStyle name="Normal" xfId="0" builtinId="0"/>
    <cellStyle name="Normal 2" xfId="2" xr:uid="{7345F86B-F46C-4930-9874-928020EB9C56}"/>
    <cellStyle name="Normal 2 2" xfId="6" xr:uid="{69B83C1E-EEA4-422D-A86E-B89DF559C73E}"/>
    <cellStyle name="Normal 3" xfId="4" xr:uid="{AFFBA8DF-C468-4732-B1B5-808305A873F9}"/>
    <cellStyle name="Normal 4" xfId="5" xr:uid="{34C66F00-30E7-4A8D-AEBE-E66A6DC02D13}"/>
    <cellStyle name="Normal 5" xfId="7" xr:uid="{6DEBF589-FC15-414B-B86B-307F46CBAFFF}"/>
    <cellStyle name="Normal 6" xfId="9" xr:uid="{343FE5A5-F0ED-43F6-8365-CDFB642D2C64}"/>
    <cellStyle name="Normal 7" xfId="11" xr:uid="{472F32D0-94E4-459A-8DDF-851E8F0007D6}"/>
    <cellStyle name="Normal 8" xfId="13" xr:uid="{CD056394-6922-4979-A2F8-A6CCE976F570}"/>
    <cellStyle name="Porcentaje" xfId="1" builtinId="5"/>
    <cellStyle name="Porcentaje 2" xfId="3" xr:uid="{27EB01DF-3E0B-4BC8-8B46-36EF16245332}"/>
    <cellStyle name="Porcentaje 3" xfId="8" xr:uid="{50019425-3791-48A0-AE10-8C0E0D3C31C0}"/>
    <cellStyle name="Porcentaje 4" xfId="10" xr:uid="{52501DE9-312A-436D-B8BD-B8FFC25916AE}"/>
  </cellStyles>
  <dxfs count="3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8F5E9"/>
      <color rgb="FF1B5E20"/>
      <color rgb="FF81C784"/>
      <color rgb="FF388E3C"/>
      <color rgb="FF006600"/>
      <color rgb="FFCC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82174103237095"/>
          <c:y val="2.3611111111111117E-2"/>
          <c:w val="0.81762270341207344"/>
          <c:h val="0.594937155568463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1'!$A$5</c:f>
              <c:strCache>
                <c:ptCount val="1"/>
                <c:pt idx="0">
                  <c:v>Carne, ganado vacuno, fresca o refrigerada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'graf 1'!$B$4:$X$4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'graf 1'!$B$5:$X$5</c:f>
              <c:numCache>
                <c:formatCode>#,##0</c:formatCode>
                <c:ptCount val="23"/>
                <c:pt idx="0">
                  <c:v>55113362.100000001</c:v>
                </c:pt>
                <c:pt idx="1">
                  <c:v>54833745.920000002</c:v>
                </c:pt>
                <c:pt idx="2">
                  <c:v>55844373.270000003</c:v>
                </c:pt>
                <c:pt idx="3">
                  <c:v>56644376.969999999</c:v>
                </c:pt>
                <c:pt idx="4">
                  <c:v>58158415.149999999</c:v>
                </c:pt>
                <c:pt idx="5">
                  <c:v>58489792.149999999</c:v>
                </c:pt>
                <c:pt idx="6">
                  <c:v>59703615.350000001</c:v>
                </c:pt>
                <c:pt idx="7">
                  <c:v>61437667.969999999</c:v>
                </c:pt>
                <c:pt idx="8">
                  <c:v>61575207.240000002</c:v>
                </c:pt>
                <c:pt idx="9">
                  <c:v>61983340.57</c:v>
                </c:pt>
                <c:pt idx="10">
                  <c:v>61864812.670000002</c:v>
                </c:pt>
                <c:pt idx="11">
                  <c:v>61671745.990000002</c:v>
                </c:pt>
                <c:pt idx="12">
                  <c:v>62048068.82</c:v>
                </c:pt>
                <c:pt idx="13">
                  <c:v>63008260.609999999</c:v>
                </c:pt>
                <c:pt idx="14">
                  <c:v>63320000.280000001</c:v>
                </c:pt>
                <c:pt idx="15">
                  <c:v>62900672.539999999</c:v>
                </c:pt>
                <c:pt idx="16">
                  <c:v>63157549.689999998</c:v>
                </c:pt>
                <c:pt idx="17">
                  <c:v>64281533.810000002</c:v>
                </c:pt>
                <c:pt idx="18">
                  <c:v>66074787.460000001</c:v>
                </c:pt>
                <c:pt idx="19">
                  <c:v>67967153.150000006</c:v>
                </c:pt>
                <c:pt idx="20">
                  <c:v>67465424.599999994</c:v>
                </c:pt>
                <c:pt idx="21">
                  <c:v>68179139.810000002</c:v>
                </c:pt>
                <c:pt idx="22">
                  <c:v>69346116.170000002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9-4806-9DFE-514FF10B4375}"/>
            </c:ext>
          </c:extLst>
        </c:ser>
        <c:ser>
          <c:idx val="2"/>
          <c:order val="1"/>
          <c:tx>
            <c:strRef>
              <c:f>'graf 1'!$A$6</c:f>
              <c:strCache>
                <c:ptCount val="1"/>
                <c:pt idx="0">
                  <c:v>Despojos comestibles de bovinos, frescos, refrigerados o congelados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'graf 1'!$B$4:$X$4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'graf 1'!$B$6:$X$6</c:f>
              <c:numCache>
                <c:formatCode>#,##0</c:formatCode>
                <c:ptCount val="23"/>
                <c:pt idx="0">
                  <c:v>7337751.5700000003</c:v>
                </c:pt>
                <c:pt idx="1">
                  <c:v>7260718.8700000001</c:v>
                </c:pt>
                <c:pt idx="2">
                  <c:v>7445114.79</c:v>
                </c:pt>
                <c:pt idx="3">
                  <c:v>7582258.5300000003</c:v>
                </c:pt>
                <c:pt idx="4">
                  <c:v>7823906.3799999999</c:v>
                </c:pt>
                <c:pt idx="5">
                  <c:v>7952208.9699999997</c:v>
                </c:pt>
                <c:pt idx="6">
                  <c:v>8156981.3200000003</c:v>
                </c:pt>
                <c:pt idx="7">
                  <c:v>8384868.1200000001</c:v>
                </c:pt>
                <c:pt idx="8">
                  <c:v>8388696.7200000007</c:v>
                </c:pt>
                <c:pt idx="9">
                  <c:v>8466703.9100000001</c:v>
                </c:pt>
                <c:pt idx="10">
                  <c:v>8463712.5500000007</c:v>
                </c:pt>
                <c:pt idx="11">
                  <c:v>8418857.9600000009</c:v>
                </c:pt>
                <c:pt idx="12">
                  <c:v>8485583.3800000008</c:v>
                </c:pt>
                <c:pt idx="13">
                  <c:v>8658826.8599999994</c:v>
                </c:pt>
                <c:pt idx="14">
                  <c:v>8710586.9800000004</c:v>
                </c:pt>
                <c:pt idx="15">
                  <c:v>8742841.2400000002</c:v>
                </c:pt>
                <c:pt idx="16">
                  <c:v>8698845.6099999994</c:v>
                </c:pt>
                <c:pt idx="17">
                  <c:v>8833308.2799999993</c:v>
                </c:pt>
                <c:pt idx="18">
                  <c:v>9043770.3499999996</c:v>
                </c:pt>
                <c:pt idx="19">
                  <c:v>9381629.0899999999</c:v>
                </c:pt>
                <c:pt idx="20">
                  <c:v>9323204.5800000001</c:v>
                </c:pt>
                <c:pt idx="21">
                  <c:v>9417912.2400000002</c:v>
                </c:pt>
                <c:pt idx="22">
                  <c:v>9570873.5700000003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9-4806-9DFE-514FF10B4375}"/>
            </c:ext>
          </c:extLst>
        </c:ser>
        <c:ser>
          <c:idx val="3"/>
          <c:order val="2"/>
          <c:tx>
            <c:strRef>
              <c:f>'graf 1'!$A$7</c:f>
              <c:strCache>
                <c:ptCount val="1"/>
                <c:pt idx="0">
                  <c:v>Grasa bovino, sin procesar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'graf 1'!$B$4:$X$4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'graf 1'!$B$7:$X$7</c:f>
              <c:numCache>
                <c:formatCode>#,##0</c:formatCode>
                <c:ptCount val="23"/>
                <c:pt idx="0">
                  <c:v>2824724</c:v>
                </c:pt>
                <c:pt idx="1">
                  <c:v>2791217.36</c:v>
                </c:pt>
                <c:pt idx="2">
                  <c:v>2835435.96</c:v>
                </c:pt>
                <c:pt idx="3">
                  <c:v>2879337.99</c:v>
                </c:pt>
                <c:pt idx="4">
                  <c:v>2953632.23</c:v>
                </c:pt>
                <c:pt idx="5">
                  <c:v>2942991.13</c:v>
                </c:pt>
                <c:pt idx="6">
                  <c:v>2986309.89</c:v>
                </c:pt>
                <c:pt idx="7">
                  <c:v>3073497.81</c:v>
                </c:pt>
                <c:pt idx="8">
                  <c:v>3080106.03</c:v>
                </c:pt>
                <c:pt idx="9">
                  <c:v>3096727.86</c:v>
                </c:pt>
                <c:pt idx="10">
                  <c:v>3060523.3</c:v>
                </c:pt>
                <c:pt idx="11">
                  <c:v>3044771.89</c:v>
                </c:pt>
                <c:pt idx="12">
                  <c:v>3047626.92</c:v>
                </c:pt>
                <c:pt idx="13">
                  <c:v>3084226.75</c:v>
                </c:pt>
                <c:pt idx="14">
                  <c:v>3103698.61</c:v>
                </c:pt>
                <c:pt idx="15">
                  <c:v>3078045.96</c:v>
                </c:pt>
                <c:pt idx="16">
                  <c:v>3098907.6</c:v>
                </c:pt>
                <c:pt idx="17">
                  <c:v>3158253.83</c:v>
                </c:pt>
                <c:pt idx="18">
                  <c:v>3248883.42</c:v>
                </c:pt>
                <c:pt idx="19">
                  <c:v>3336330.29</c:v>
                </c:pt>
                <c:pt idx="20">
                  <c:v>3314641.58</c:v>
                </c:pt>
                <c:pt idx="21">
                  <c:v>3340140.03</c:v>
                </c:pt>
                <c:pt idx="22">
                  <c:v>3392342.85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9-4806-9DFE-514FF10B4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6768111"/>
        <c:axId val="1296773935"/>
      </c:barChart>
      <c:catAx>
        <c:axId val="129676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296773935"/>
        <c:crosses val="autoZero"/>
        <c:auto val="1"/>
        <c:lblAlgn val="ctr"/>
        <c:lblOffset val="100"/>
        <c:noMultiLvlLbl val="0"/>
      </c:catAx>
      <c:valAx>
        <c:axId val="129677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29676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1'!$A$5</c:f>
              <c:strCache>
                <c:ptCount val="1"/>
                <c:pt idx="0">
                  <c:v>Carne, ganado vacuno, fresca o refrigerada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 1'!$B$4:$X$4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'graf 1'!$B$5:$X$5</c:f>
              <c:numCache>
                <c:formatCode>#,##0</c:formatCode>
                <c:ptCount val="23"/>
                <c:pt idx="0">
                  <c:v>55113362.100000001</c:v>
                </c:pt>
                <c:pt idx="1">
                  <c:v>54833745.920000002</c:v>
                </c:pt>
                <c:pt idx="2">
                  <c:v>55844373.270000003</c:v>
                </c:pt>
                <c:pt idx="3">
                  <c:v>56644376.969999999</c:v>
                </c:pt>
                <c:pt idx="4">
                  <c:v>58158415.149999999</c:v>
                </c:pt>
                <c:pt idx="5">
                  <c:v>58489792.149999999</c:v>
                </c:pt>
                <c:pt idx="6">
                  <c:v>59703615.350000001</c:v>
                </c:pt>
                <c:pt idx="7">
                  <c:v>61437667.969999999</c:v>
                </c:pt>
                <c:pt idx="8">
                  <c:v>61575207.240000002</c:v>
                </c:pt>
                <c:pt idx="9">
                  <c:v>61983340.57</c:v>
                </c:pt>
                <c:pt idx="10">
                  <c:v>61864812.670000002</c:v>
                </c:pt>
                <c:pt idx="11">
                  <c:v>61671745.990000002</c:v>
                </c:pt>
                <c:pt idx="12">
                  <c:v>62048068.82</c:v>
                </c:pt>
                <c:pt idx="13">
                  <c:v>63008260.609999999</c:v>
                </c:pt>
                <c:pt idx="14">
                  <c:v>63320000.280000001</c:v>
                </c:pt>
                <c:pt idx="15">
                  <c:v>62900672.539999999</c:v>
                </c:pt>
                <c:pt idx="16">
                  <c:v>63157549.689999998</c:v>
                </c:pt>
                <c:pt idx="17">
                  <c:v>64281533.810000002</c:v>
                </c:pt>
                <c:pt idx="18">
                  <c:v>66074787.460000001</c:v>
                </c:pt>
                <c:pt idx="19">
                  <c:v>67967153.150000006</c:v>
                </c:pt>
                <c:pt idx="20">
                  <c:v>67465424.599999994</c:v>
                </c:pt>
                <c:pt idx="21">
                  <c:v>68179139.810000002</c:v>
                </c:pt>
                <c:pt idx="22">
                  <c:v>69346116.170000002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4-49CC-A700-8582932FC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792463"/>
        <c:axId val="1376793295"/>
      </c:barChart>
      <c:catAx>
        <c:axId val="137679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76793295"/>
        <c:crosses val="autoZero"/>
        <c:auto val="1"/>
        <c:lblAlgn val="ctr"/>
        <c:lblOffset val="100"/>
        <c:noMultiLvlLbl val="0"/>
      </c:catAx>
      <c:valAx>
        <c:axId val="13767932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7679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1'!$A$39</c:f>
              <c:strCache>
                <c:ptCount val="1"/>
                <c:pt idx="0">
                  <c:v>Carne, ganado vacuno, fresca o refrigerada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lgDash"/>
              </a:ln>
              <a:effectLst/>
            </c:spPr>
            <c:trendlineType val="linear"/>
            <c:dispRSqr val="0"/>
            <c:dispEq val="0"/>
          </c:trendline>
          <c:cat>
            <c:numRef>
              <c:f>'graf 1'!$B$37:$Y$37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'graf 1'!$B$39:$Y$39</c:f>
              <c:numCache>
                <c:formatCode>#,##0.0</c:formatCode>
                <c:ptCount val="24"/>
                <c:pt idx="0">
                  <c:v>55.113362100000003</c:v>
                </c:pt>
                <c:pt idx="1">
                  <c:v>54.833745919999998</c:v>
                </c:pt>
                <c:pt idx="2">
                  <c:v>55.844373270000006</c:v>
                </c:pt>
                <c:pt idx="3">
                  <c:v>56.644376969999996</c:v>
                </c:pt>
                <c:pt idx="4">
                  <c:v>58.158415149999996</c:v>
                </c:pt>
                <c:pt idx="5">
                  <c:v>58.48979215</c:v>
                </c:pt>
                <c:pt idx="6">
                  <c:v>59.70361535</c:v>
                </c:pt>
                <c:pt idx="7">
                  <c:v>61.43766797</c:v>
                </c:pt>
                <c:pt idx="8">
                  <c:v>61.575207240000005</c:v>
                </c:pt>
                <c:pt idx="9">
                  <c:v>61.983340570000003</c:v>
                </c:pt>
                <c:pt idx="10">
                  <c:v>61.864812669999999</c:v>
                </c:pt>
                <c:pt idx="11">
                  <c:v>61.671745990000005</c:v>
                </c:pt>
                <c:pt idx="12">
                  <c:v>62.048068819999997</c:v>
                </c:pt>
                <c:pt idx="13">
                  <c:v>63.008260610000001</c:v>
                </c:pt>
                <c:pt idx="14">
                  <c:v>63.320000280000002</c:v>
                </c:pt>
                <c:pt idx="15">
                  <c:v>62.900672540000002</c:v>
                </c:pt>
                <c:pt idx="16">
                  <c:v>63.157549689999996</c:v>
                </c:pt>
                <c:pt idx="17">
                  <c:v>64.281533809999999</c:v>
                </c:pt>
                <c:pt idx="18">
                  <c:v>66.074787459999996</c:v>
                </c:pt>
                <c:pt idx="19">
                  <c:v>67.967153150000001</c:v>
                </c:pt>
                <c:pt idx="20">
                  <c:v>67.465424599999992</c:v>
                </c:pt>
                <c:pt idx="21">
                  <c:v>68.179139810000009</c:v>
                </c:pt>
                <c:pt idx="22">
                  <c:v>69.346116170000002</c:v>
                </c:pt>
                <c:pt idx="23">
                  <c:v>69.462202779999998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9-4FA5-BE39-1BB8FCEA2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2693231"/>
        <c:axId val="1154175599"/>
      </c:barChart>
      <c:catAx>
        <c:axId val="116269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154175599"/>
        <c:crosses val="autoZero"/>
        <c:auto val="1"/>
        <c:lblAlgn val="ctr"/>
        <c:lblOffset val="100"/>
        <c:noMultiLvlLbl val="0"/>
      </c:catAx>
      <c:valAx>
        <c:axId val="11541755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crossAx val="116269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524424113706911"/>
          <c:y val="3.8322437361880117E-2"/>
          <c:w val="0.53190494756560691"/>
          <c:h val="0.923355125276239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'Grafico 2'!$C$2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rgbClr val="002060"/>
              </a:solidFill>
            </a:ln>
            <a:effectLst/>
          </c:spPr>
          <c:invertIfNegative val="0"/>
          <c:dLbls>
            <c:dLbl>
              <c:idx val="8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C560-4D7C-B06F-30E43CB048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 2'!$B$3:$B$12</c:f>
              <c:strCache>
                <c:ptCount val="10"/>
                <c:pt idx="0">
                  <c:v>Canadá</c:v>
                </c:pt>
                <c:pt idx="1">
                  <c:v>Federación de Rusia</c:v>
                </c:pt>
                <c:pt idx="2">
                  <c:v>Turquía</c:v>
                </c:pt>
                <c:pt idx="3">
                  <c:v>México</c:v>
                </c:pt>
                <c:pt idx="4">
                  <c:v>Australia</c:v>
                </c:pt>
                <c:pt idx="5">
                  <c:v>Argentina</c:v>
                </c:pt>
                <c:pt idx="6">
                  <c:v>China, Continental</c:v>
                </c:pt>
                <c:pt idx="7">
                  <c:v>China</c:v>
                </c:pt>
                <c:pt idx="8">
                  <c:v>Brasil</c:v>
                </c:pt>
                <c:pt idx="9">
                  <c:v>Estados Unidos de América</c:v>
                </c:pt>
              </c:strCache>
            </c:strRef>
          </c:cat>
          <c:val>
            <c:numRef>
              <c:f>'Grafico 2'!$C$3:$C$12</c:f>
              <c:numCache>
                <c:formatCode>#,##0.0</c:formatCode>
                <c:ptCount val="10"/>
                <c:pt idx="0">
                  <c:v>1.0685910000000001</c:v>
                </c:pt>
                <c:pt idx="1">
                  <c:v>1.6541349999999999</c:v>
                </c:pt>
                <c:pt idx="2">
                  <c:v>0.81567378000000001</c:v>
                </c:pt>
                <c:pt idx="3">
                  <c:v>1.8271520000000001</c:v>
                </c:pt>
                <c:pt idx="4">
                  <c:v>2.5951490000000002</c:v>
                </c:pt>
                <c:pt idx="5">
                  <c:v>2.6739999999999999</c:v>
                </c:pt>
                <c:pt idx="6">
                  <c:v>5.54148</c:v>
                </c:pt>
                <c:pt idx="7">
                  <c:v>5.5562521699999996</c:v>
                </c:pt>
                <c:pt idx="8">
                  <c:v>9.7230000000000008</c:v>
                </c:pt>
                <c:pt idx="9">
                  <c:v>11.698116000000001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60-4D7C-B06F-30E43CB04808}"/>
            </c:ext>
          </c:extLst>
        </c:ser>
        <c:ser>
          <c:idx val="1"/>
          <c:order val="1"/>
          <c:tx>
            <c:strRef>
              <c:f>'Grafico 2'!$D$2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 2'!$B$3:$B$12</c:f>
              <c:strCache>
                <c:ptCount val="10"/>
                <c:pt idx="0">
                  <c:v>Canadá</c:v>
                </c:pt>
                <c:pt idx="1">
                  <c:v>Federación de Rusia</c:v>
                </c:pt>
                <c:pt idx="2">
                  <c:v>Turquía</c:v>
                </c:pt>
                <c:pt idx="3">
                  <c:v>México</c:v>
                </c:pt>
                <c:pt idx="4">
                  <c:v>Australia</c:v>
                </c:pt>
                <c:pt idx="5">
                  <c:v>Argentina</c:v>
                </c:pt>
                <c:pt idx="6">
                  <c:v>China, Continental</c:v>
                </c:pt>
                <c:pt idx="7">
                  <c:v>China</c:v>
                </c:pt>
                <c:pt idx="8">
                  <c:v>Brasil</c:v>
                </c:pt>
                <c:pt idx="9">
                  <c:v>Estados Unidos de América</c:v>
                </c:pt>
              </c:strCache>
            </c:strRef>
          </c:cat>
          <c:val>
            <c:numRef>
              <c:f>'Grafico 2'!$D$3:$D$12</c:f>
              <c:numCache>
                <c:formatCode>#,##0.0</c:formatCode>
                <c:ptCount val="10"/>
                <c:pt idx="0">
                  <c:v>1.265935</c:v>
                </c:pt>
                <c:pt idx="1">
                  <c:v>1.608136</c:v>
                </c:pt>
                <c:pt idx="2">
                  <c:v>1.2812342700000001</c:v>
                </c:pt>
                <c:pt idx="3">
                  <c:v>1.98084634</c:v>
                </c:pt>
                <c:pt idx="4">
                  <c:v>2.3085469999999999</c:v>
                </c:pt>
                <c:pt idx="5">
                  <c:v>3.0660940000000001</c:v>
                </c:pt>
                <c:pt idx="6">
                  <c:v>5.7965400000000002</c:v>
                </c:pt>
                <c:pt idx="7">
                  <c:v>5.8101617699999997</c:v>
                </c:pt>
                <c:pt idx="8">
                  <c:v>9.9</c:v>
                </c:pt>
                <c:pt idx="9">
                  <c:v>12.255874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60-4D7C-B06F-30E43CB04808}"/>
            </c:ext>
          </c:extLst>
        </c:ser>
        <c:ser>
          <c:idx val="2"/>
          <c:order val="2"/>
          <c:tx>
            <c:strRef>
              <c:f>'Grafico 2'!$E$2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066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 2'!$B$3:$B$12</c:f>
              <c:strCache>
                <c:ptCount val="10"/>
                <c:pt idx="0">
                  <c:v>Canadá</c:v>
                </c:pt>
                <c:pt idx="1">
                  <c:v>Federación de Rusia</c:v>
                </c:pt>
                <c:pt idx="2">
                  <c:v>Turquía</c:v>
                </c:pt>
                <c:pt idx="3">
                  <c:v>México</c:v>
                </c:pt>
                <c:pt idx="4">
                  <c:v>Australia</c:v>
                </c:pt>
                <c:pt idx="5">
                  <c:v>Argentina</c:v>
                </c:pt>
                <c:pt idx="6">
                  <c:v>China, Continental</c:v>
                </c:pt>
                <c:pt idx="7">
                  <c:v>China</c:v>
                </c:pt>
                <c:pt idx="8">
                  <c:v>Brasil</c:v>
                </c:pt>
                <c:pt idx="9">
                  <c:v>Estados Unidos de América</c:v>
                </c:pt>
              </c:strCache>
            </c:strRef>
          </c:cat>
          <c:val>
            <c:numRef>
              <c:f>'Grafico 2'!$E$3:$E$12</c:f>
              <c:numCache>
                <c:formatCode>#,##0.0</c:formatCode>
                <c:ptCount val="10"/>
                <c:pt idx="0">
                  <c:v>1.347831</c:v>
                </c:pt>
                <c:pt idx="1">
                  <c:v>1.6596</c:v>
                </c:pt>
                <c:pt idx="2">
                  <c:v>1.6706060300000001</c:v>
                </c:pt>
                <c:pt idx="3">
                  <c:v>2.2149277000000001</c:v>
                </c:pt>
                <c:pt idx="4">
                  <c:v>2.2362340000000001</c:v>
                </c:pt>
                <c:pt idx="5">
                  <c:v>3.2870458599999997</c:v>
                </c:pt>
                <c:pt idx="6">
                  <c:v>6.7741199999999999</c:v>
                </c:pt>
                <c:pt idx="7">
                  <c:v>6.7888510799999997</c:v>
                </c:pt>
                <c:pt idx="8">
                  <c:v>11.16</c:v>
                </c:pt>
                <c:pt idx="9">
                  <c:v>12.285731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60-4D7C-B06F-30E43CB04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37341855"/>
        <c:axId val="1437346431"/>
      </c:barChart>
      <c:catAx>
        <c:axId val="14373418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437346431"/>
        <c:crosses val="autoZero"/>
        <c:auto val="1"/>
        <c:lblAlgn val="ctr"/>
        <c:lblOffset val="100"/>
        <c:noMultiLvlLbl val="0"/>
      </c:catAx>
      <c:valAx>
        <c:axId val="1437346431"/>
        <c:scaling>
          <c:orientation val="minMax"/>
        </c:scaling>
        <c:delete val="0"/>
        <c:axPos val="b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4373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 3 '!$M$1:$U$1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'graf 3 '!$M$2:$U$2</c:f>
              <c:numCache>
                <c:formatCode>#,##0</c:formatCode>
                <c:ptCount val="9"/>
                <c:pt idx="0">
                  <c:v>3808233</c:v>
                </c:pt>
                <c:pt idx="1">
                  <c:v>3883699</c:v>
                </c:pt>
                <c:pt idx="2">
                  <c:v>4037992</c:v>
                </c:pt>
                <c:pt idx="3">
                  <c:v>3829973</c:v>
                </c:pt>
                <c:pt idx="4">
                  <c:v>3690951</c:v>
                </c:pt>
                <c:pt idx="5">
                  <c:v>3591175</c:v>
                </c:pt>
                <c:pt idx="6">
                  <c:v>3422441</c:v>
                </c:pt>
                <c:pt idx="7">
                  <c:v>3756598</c:v>
                </c:pt>
                <c:pt idx="8">
                  <c:v>3181228.5890000002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9-4A86-86DE-2BC30BDBC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40032"/>
        <c:axId val="134649600"/>
      </c:barChart>
      <c:catAx>
        <c:axId val="13464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34649600"/>
        <c:crosses val="autoZero"/>
        <c:auto val="1"/>
        <c:lblAlgn val="ctr"/>
        <c:lblOffset val="100"/>
        <c:noMultiLvlLbl val="0"/>
      </c:catAx>
      <c:valAx>
        <c:axId val="13464960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3464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 4'!$O$4:$W$4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'graf 4'!$O$5:$W$5</c:f>
              <c:numCache>
                <c:formatCode>#,##0</c:formatCode>
                <c:ptCount val="9"/>
                <c:pt idx="0">
                  <c:v>5163866</c:v>
                </c:pt>
                <c:pt idx="1">
                  <c:v>5456514</c:v>
                </c:pt>
                <c:pt idx="2">
                  <c:v>5786282</c:v>
                </c:pt>
                <c:pt idx="3">
                  <c:v>6410034</c:v>
                </c:pt>
                <c:pt idx="4">
                  <c:v>6157109</c:v>
                </c:pt>
                <c:pt idx="5">
                  <c:v>6229786</c:v>
                </c:pt>
                <c:pt idx="6">
                  <c:v>6804046</c:v>
                </c:pt>
                <c:pt idx="7">
                  <c:v>6929245</c:v>
                </c:pt>
                <c:pt idx="8">
                  <c:v>5942349.907999998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5-4666-BEDC-15C44B2E0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896960"/>
        <c:axId val="308928160"/>
      </c:barChart>
      <c:catAx>
        <c:axId val="30889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308928160"/>
        <c:crosses val="autoZero"/>
        <c:auto val="1"/>
        <c:lblAlgn val="ctr"/>
        <c:lblOffset val="100"/>
        <c:noMultiLvlLbl val="0"/>
      </c:catAx>
      <c:valAx>
        <c:axId val="3089281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0889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5'!$B$28:$B$37</c:f>
              <c:strCache>
                <c:ptCount val="10"/>
                <c:pt idx="0">
                  <c:v>Uruguay</c:v>
                </c:pt>
                <c:pt idx="1">
                  <c:v>Polonia</c:v>
                </c:pt>
                <c:pt idx="2">
                  <c:v>Canadá</c:v>
                </c:pt>
                <c:pt idx="3">
                  <c:v>Países Bajos</c:v>
                </c:pt>
                <c:pt idx="4">
                  <c:v>Nueva Zelandia</c:v>
                </c:pt>
                <c:pt idx="5">
                  <c:v>Argentina</c:v>
                </c:pt>
                <c:pt idx="6">
                  <c:v>Australia</c:v>
                </c:pt>
                <c:pt idx="7">
                  <c:v>India</c:v>
                </c:pt>
                <c:pt idx="8">
                  <c:v>Estados Unidos de América</c:v>
                </c:pt>
                <c:pt idx="9">
                  <c:v>Brasil</c:v>
                </c:pt>
              </c:strCache>
            </c:strRef>
          </c:cat>
          <c:val>
            <c:numRef>
              <c:f>'graf 5'!$C$28:$C$37</c:f>
              <c:numCache>
                <c:formatCode>#,##0</c:formatCode>
                <c:ptCount val="10"/>
                <c:pt idx="0">
                  <c:v>342229</c:v>
                </c:pt>
                <c:pt idx="1">
                  <c:v>361713</c:v>
                </c:pt>
                <c:pt idx="2">
                  <c:v>430031</c:v>
                </c:pt>
                <c:pt idx="3">
                  <c:v>438337</c:v>
                </c:pt>
                <c:pt idx="4">
                  <c:v>463500</c:v>
                </c:pt>
                <c:pt idx="5">
                  <c:v>622186</c:v>
                </c:pt>
                <c:pt idx="6">
                  <c:v>982084</c:v>
                </c:pt>
                <c:pt idx="7">
                  <c:v>1060080</c:v>
                </c:pt>
                <c:pt idx="8">
                  <c:v>1145103</c:v>
                </c:pt>
                <c:pt idx="9">
                  <c:v>1991327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6-4869-A19A-29FB96BD6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9229471"/>
        <c:axId val="589227807"/>
      </c:barChart>
      <c:catAx>
        <c:axId val="58922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589227807"/>
        <c:crosses val="autoZero"/>
        <c:auto val="1"/>
        <c:lblAlgn val="ctr"/>
        <c:lblOffset val="100"/>
        <c:noMultiLvlLbl val="0"/>
      </c:catAx>
      <c:valAx>
        <c:axId val="589227807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58922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'graf 5'!$J$71:$J$80</c:f>
              <c:strCache>
                <c:ptCount val="10"/>
                <c:pt idx="0">
                  <c:v>Irlanda</c:v>
                </c:pt>
                <c:pt idx="1">
                  <c:v>Canadá</c:v>
                </c:pt>
                <c:pt idx="2">
                  <c:v>Uruguay</c:v>
                </c:pt>
                <c:pt idx="3">
                  <c:v>Países Bajos</c:v>
                </c:pt>
                <c:pt idx="4">
                  <c:v>Nueva Zelanda</c:v>
                </c:pt>
                <c:pt idx="5">
                  <c:v>Argentina</c:v>
                </c:pt>
                <c:pt idx="6">
                  <c:v>Estados Unidos de América</c:v>
                </c:pt>
                <c:pt idx="7">
                  <c:v>Paraguay</c:v>
                </c:pt>
                <c:pt idx="8">
                  <c:v>Australia</c:v>
                </c:pt>
                <c:pt idx="9">
                  <c:v>Brasil</c:v>
                </c:pt>
              </c:strCache>
            </c:strRef>
          </c:cat>
          <c:val>
            <c:numRef>
              <c:f>'graf 5'!$L$71:$L$80</c:f>
              <c:numCache>
                <c:formatCode>#,##0</c:formatCode>
                <c:ptCount val="10"/>
                <c:pt idx="0">
                  <c:v>261.36</c:v>
                </c:pt>
                <c:pt idx="1">
                  <c:v>357.00200000000001</c:v>
                </c:pt>
                <c:pt idx="2">
                  <c:v>360.68099999999998</c:v>
                </c:pt>
                <c:pt idx="3">
                  <c:v>424.68099999999998</c:v>
                </c:pt>
                <c:pt idx="4">
                  <c:v>493.01499999999999</c:v>
                </c:pt>
                <c:pt idx="5">
                  <c:v>673.41</c:v>
                </c:pt>
                <c:pt idx="6">
                  <c:v>973.90599999999995</c:v>
                </c:pt>
                <c:pt idx="7">
                  <c:v>1109.893</c:v>
                </c:pt>
                <c:pt idx="8">
                  <c:v>1223.221</c:v>
                </c:pt>
                <c:pt idx="9">
                  <c:v>2005.88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B-4A60-8F6C-9DBC4AF5A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8571247"/>
        <c:axId val="1808574159"/>
      </c:barChart>
      <c:catAx>
        <c:axId val="1808571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808574159"/>
        <c:crosses val="autoZero"/>
        <c:auto val="1"/>
        <c:lblAlgn val="ctr"/>
        <c:lblOffset val="10"/>
        <c:noMultiLvlLbl val="0"/>
      </c:catAx>
      <c:valAx>
        <c:axId val="1808574159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80857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6'!$B$10</c:f>
              <c:strCache>
                <c:ptCount val="1"/>
                <c:pt idx="0">
                  <c:v>Mundo</c:v>
                </c:pt>
              </c:strCache>
            </c:strRef>
          </c:tx>
          <c:spPr>
            <a:solidFill>
              <a:srgbClr val="008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 6'!$C$9:$K$9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'graf 6'!$C$10:$K$10</c:f>
              <c:numCache>
                <c:formatCode>#,##0</c:formatCode>
                <c:ptCount val="9"/>
                <c:pt idx="0">
                  <c:v>3174197</c:v>
                </c:pt>
                <c:pt idx="1">
                  <c:v>3217188</c:v>
                </c:pt>
                <c:pt idx="2">
                  <c:v>3892376</c:v>
                </c:pt>
                <c:pt idx="3">
                  <c:v>3896857</c:v>
                </c:pt>
                <c:pt idx="4">
                  <c:v>3738917</c:v>
                </c:pt>
                <c:pt idx="5">
                  <c:v>3842726</c:v>
                </c:pt>
                <c:pt idx="6">
                  <c:v>3738719</c:v>
                </c:pt>
                <c:pt idx="7">
                  <c:v>3774781</c:v>
                </c:pt>
                <c:pt idx="8">
                  <c:v>2865395.0140000018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5-4945-B4AE-5EE3DB691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682399"/>
        <c:axId val="2031679071"/>
      </c:barChart>
      <c:catAx>
        <c:axId val="203168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31679071"/>
        <c:crosses val="autoZero"/>
        <c:auto val="1"/>
        <c:lblAlgn val="ctr"/>
        <c:lblOffset val="100"/>
        <c:noMultiLvlLbl val="0"/>
      </c:catAx>
      <c:valAx>
        <c:axId val="203167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3168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 7'!$N$1:$T$1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'graf 7'!$N$2:$T$2</c:f>
              <c:numCache>
                <c:formatCode>#,##0</c:formatCode>
                <c:ptCount val="7"/>
                <c:pt idx="0">
                  <c:v>3808233</c:v>
                </c:pt>
                <c:pt idx="1">
                  <c:v>3883699</c:v>
                </c:pt>
                <c:pt idx="2">
                  <c:v>4037992</c:v>
                </c:pt>
                <c:pt idx="3">
                  <c:v>3829973</c:v>
                </c:pt>
                <c:pt idx="4">
                  <c:v>3690951</c:v>
                </c:pt>
                <c:pt idx="5">
                  <c:v>3591175</c:v>
                </c:pt>
                <c:pt idx="6">
                  <c:v>3422441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F-4E6B-9472-13457B5B2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40032"/>
        <c:axId val="134649600"/>
      </c:barChart>
      <c:catAx>
        <c:axId val="13464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34649600"/>
        <c:crosses val="autoZero"/>
        <c:auto val="1"/>
        <c:lblAlgn val="ctr"/>
        <c:lblOffset val="100"/>
        <c:noMultiLvlLbl val="0"/>
      </c:catAx>
      <c:valAx>
        <c:axId val="13464960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3464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6600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0066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7C22-476D-8784-D134C59FD6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 7 (2)'!$C$1:$K$1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'Graf 7 (2)'!$C$2:$K$2</c:f>
              <c:numCache>
                <c:formatCode>#,##0</c:formatCode>
                <c:ptCount val="9"/>
                <c:pt idx="0">
                  <c:v>3872847</c:v>
                </c:pt>
                <c:pt idx="1">
                  <c:v>4128574</c:v>
                </c:pt>
                <c:pt idx="2">
                  <c:v>5084004</c:v>
                </c:pt>
                <c:pt idx="3">
                  <c:v>5829630</c:v>
                </c:pt>
                <c:pt idx="4">
                  <c:v>5847389</c:v>
                </c:pt>
                <c:pt idx="5">
                  <c:v>6272056</c:v>
                </c:pt>
                <c:pt idx="6">
                  <c:v>6738776</c:v>
                </c:pt>
                <c:pt idx="7">
                  <c:v>6914563</c:v>
                </c:pt>
                <c:pt idx="8">
                  <c:v>5216911.0629999982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8-47A0-B07B-F3416EF41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812671"/>
        <c:axId val="1940808927"/>
      </c:barChart>
      <c:catAx>
        <c:axId val="194081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940808927"/>
        <c:crosses val="autoZero"/>
        <c:auto val="1"/>
        <c:lblAlgn val="ctr"/>
        <c:lblOffset val="100"/>
        <c:noMultiLvlLbl val="0"/>
      </c:catAx>
      <c:valAx>
        <c:axId val="19408089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94081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7707786526684"/>
          <c:y val="5.0925925925925923E-2"/>
          <c:w val="0.66422922134733153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8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8'!$B$2:$B$11</c:f>
              <c:strCache>
                <c:ptCount val="10"/>
                <c:pt idx="0">
                  <c:v>Indonesia</c:v>
                </c:pt>
                <c:pt idx="1">
                  <c:v>Chile</c:v>
                </c:pt>
                <c:pt idx="2">
                  <c:v>Francia</c:v>
                </c:pt>
                <c:pt idx="3">
                  <c:v>Alemania</c:v>
                </c:pt>
                <c:pt idx="4">
                  <c:v>Países Bajos</c:v>
                </c:pt>
                <c:pt idx="5">
                  <c:v>Italia</c:v>
                </c:pt>
                <c:pt idx="6">
                  <c:v>República de Corea</c:v>
                </c:pt>
                <c:pt idx="7">
                  <c:v>Japón</c:v>
                </c:pt>
                <c:pt idx="8">
                  <c:v>Estados Unidos</c:v>
                </c:pt>
                <c:pt idx="9">
                  <c:v>China</c:v>
                </c:pt>
              </c:strCache>
            </c:strRef>
          </c:cat>
          <c:val>
            <c:numRef>
              <c:f>'graf 8'!$D$2:$D$11</c:f>
              <c:numCache>
                <c:formatCode>#,##0</c:formatCode>
                <c:ptCount val="10"/>
                <c:pt idx="0">
                  <c:v>238433.58</c:v>
                </c:pt>
                <c:pt idx="1">
                  <c:v>264451.67536699999</c:v>
                </c:pt>
                <c:pt idx="2">
                  <c:v>270298.91700000002</c:v>
                </c:pt>
                <c:pt idx="3">
                  <c:v>297133.19125099998</c:v>
                </c:pt>
                <c:pt idx="4">
                  <c:v>340464.24951400002</c:v>
                </c:pt>
                <c:pt idx="5">
                  <c:v>374513.75099999999</c:v>
                </c:pt>
                <c:pt idx="6">
                  <c:v>472888.201</c:v>
                </c:pt>
                <c:pt idx="7">
                  <c:v>503939.087</c:v>
                </c:pt>
                <c:pt idx="8">
                  <c:v>1198409.747</c:v>
                </c:pt>
                <c:pt idx="9">
                  <c:v>2736899.8990000002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A-4809-8508-C67B6CEDD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2140080"/>
        <c:axId val="762138000"/>
      </c:barChart>
      <c:catAx>
        <c:axId val="76214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762138000"/>
        <c:crosses val="autoZero"/>
        <c:auto val="1"/>
        <c:lblAlgn val="ctr"/>
        <c:lblOffset val="100"/>
        <c:noMultiLvlLbl val="0"/>
      </c:catAx>
      <c:valAx>
        <c:axId val="762138000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76214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DC-496F-B813-4154A4FE6B94}"/>
                </c:ext>
              </c:extLst>
            </c:dLbl>
            <c:dLbl>
              <c:idx val="2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DC-496F-B813-4154A4FE6B94}"/>
                </c:ext>
              </c:extLst>
            </c:dLbl>
            <c:dLbl>
              <c:idx val="3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DC-496F-B813-4154A4FE6B94}"/>
                </c:ext>
              </c:extLst>
            </c:dLbl>
            <c:dLbl>
              <c:idx val="49"/>
              <c:layout>
                <c:manualLayout>
                  <c:x val="-3.9395933717240567E-2"/>
                  <c:y val="-0.1550579615048118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DC-496F-B813-4154A4FE6B94}"/>
                </c:ext>
              </c:extLst>
            </c:dLbl>
            <c:dLbl>
              <c:idx val="6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DC-496F-B813-4154A4FE6B94}"/>
                </c:ext>
              </c:extLst>
            </c:dLbl>
            <c:dLbl>
              <c:idx val="7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DC-496F-B813-4154A4FE6B94}"/>
                </c:ext>
              </c:extLst>
            </c:dLbl>
            <c:dLbl>
              <c:idx val="9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2F-4E4F-9955-63FE46F99E3E}"/>
                </c:ext>
              </c:extLst>
            </c:dLbl>
            <c:dLbl>
              <c:idx val="10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5F6-42B3-8202-75F87DD2CFD5}"/>
                </c:ext>
              </c:extLst>
            </c:dLbl>
            <c:numFmt formatCode="#,##0.0" sourceLinked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 9 precio'!$C$1:$DF$1</c:f>
              <c:numCache>
                <c:formatCode>General</c:formatCode>
                <c:ptCount val="108"/>
                <c:pt idx="0">
                  <c:v>2016</c:v>
                </c:pt>
                <c:pt idx="12">
                  <c:v>2017</c:v>
                </c:pt>
                <c:pt idx="24">
                  <c:v>2018</c:v>
                </c:pt>
                <c:pt idx="36">
                  <c:v>2019</c:v>
                </c:pt>
                <c:pt idx="48">
                  <c:v>2020</c:v>
                </c:pt>
                <c:pt idx="60">
                  <c:v>2021</c:v>
                </c:pt>
                <c:pt idx="72">
                  <c:v>2022</c:v>
                </c:pt>
                <c:pt idx="84">
                  <c:v>2023</c:v>
                </c:pt>
                <c:pt idx="96">
                  <c:v>2024</c:v>
                </c:pt>
              </c:numCache>
            </c:numRef>
          </c:cat>
          <c:val>
            <c:numRef>
              <c:f>'Graf 9 precio'!$C$2:$DF$2</c:f>
              <c:numCache>
                <c:formatCode>#,##0.0</c:formatCode>
                <c:ptCount val="108"/>
                <c:pt idx="0">
                  <c:v>3.6332137599999998</c:v>
                </c:pt>
                <c:pt idx="1">
                  <c:v>3.8630453949999999</c:v>
                </c:pt>
                <c:pt idx="2">
                  <c:v>4.0334625209999997</c:v>
                </c:pt>
                <c:pt idx="3">
                  <c:v>3.9631351430000001</c:v>
                </c:pt>
                <c:pt idx="4">
                  <c:v>4.0418400769999998</c:v>
                </c:pt>
                <c:pt idx="5">
                  <c:v>4.1051126709999997</c:v>
                </c:pt>
                <c:pt idx="6">
                  <c:v>4.2554677549999997</c:v>
                </c:pt>
                <c:pt idx="7">
                  <c:v>4.2394842600000002</c:v>
                </c:pt>
                <c:pt idx="8">
                  <c:v>4.117899467</c:v>
                </c:pt>
                <c:pt idx="9">
                  <c:v>4.0365489889999999</c:v>
                </c:pt>
                <c:pt idx="10">
                  <c:v>4.2984578449999997</c:v>
                </c:pt>
                <c:pt idx="11">
                  <c:v>4.1430321350000003</c:v>
                </c:pt>
                <c:pt idx="12">
                  <c:v>4.074909377</c:v>
                </c:pt>
                <c:pt idx="13">
                  <c:v>4.2262565399999996</c:v>
                </c:pt>
                <c:pt idx="14">
                  <c:v>4.3461878680000003</c:v>
                </c:pt>
                <c:pt idx="15">
                  <c:v>4.4103423099999999</c:v>
                </c:pt>
                <c:pt idx="16">
                  <c:v>4.6041284080000002</c:v>
                </c:pt>
                <c:pt idx="17">
                  <c:v>4.6783138710000003</c:v>
                </c:pt>
                <c:pt idx="18">
                  <c:v>4.6660782300000001</c:v>
                </c:pt>
                <c:pt idx="19">
                  <c:v>4.4739455970000002</c:v>
                </c:pt>
                <c:pt idx="20">
                  <c:v>4.3012136200000004</c:v>
                </c:pt>
                <c:pt idx="21">
                  <c:v>4.2509482839999997</c:v>
                </c:pt>
                <c:pt idx="22">
                  <c:v>4.3314169140000001</c:v>
                </c:pt>
                <c:pt idx="23">
                  <c:v>4.2833561979999999</c:v>
                </c:pt>
                <c:pt idx="24">
                  <c:v>4.2960327630000004</c:v>
                </c:pt>
                <c:pt idx="25">
                  <c:v>4.353573345</c:v>
                </c:pt>
                <c:pt idx="26">
                  <c:v>4.4394432940000002</c:v>
                </c:pt>
                <c:pt idx="27">
                  <c:v>4.3782650890000001</c:v>
                </c:pt>
                <c:pt idx="28">
                  <c:v>4.3200631209999996</c:v>
                </c:pt>
                <c:pt idx="29">
                  <c:v>4.2438935000000004</c:v>
                </c:pt>
                <c:pt idx="30">
                  <c:v>4.188226845</c:v>
                </c:pt>
                <c:pt idx="31">
                  <c:v>4.1144823060000002</c:v>
                </c:pt>
                <c:pt idx="32">
                  <c:v>4.0103140110000002</c:v>
                </c:pt>
                <c:pt idx="33">
                  <c:v>3.8643681669999999</c:v>
                </c:pt>
                <c:pt idx="34">
                  <c:v>3.9464902620000002</c:v>
                </c:pt>
                <c:pt idx="35">
                  <c:v>4.1853608390000003</c:v>
                </c:pt>
                <c:pt idx="36">
                  <c:v>4.2413581870000003</c:v>
                </c:pt>
                <c:pt idx="37">
                  <c:v>4.2791674200000003</c:v>
                </c:pt>
                <c:pt idx="38">
                  <c:v>4.4764809100000003</c:v>
                </c:pt>
                <c:pt idx="39">
                  <c:v>4.6989270679999997</c:v>
                </c:pt>
                <c:pt idx="40">
                  <c:v>4.6006010159999997</c:v>
                </c:pt>
                <c:pt idx="41">
                  <c:v>4.6291508449999998</c:v>
                </c:pt>
                <c:pt idx="42">
                  <c:v>4.629702</c:v>
                </c:pt>
                <c:pt idx="43">
                  <c:v>4.595861083</c:v>
                </c:pt>
                <c:pt idx="44">
                  <c:v>4.6545039749999999</c:v>
                </c:pt>
                <c:pt idx="45">
                  <c:v>4.8583210939999999</c:v>
                </c:pt>
                <c:pt idx="46">
                  <c:v>5.9362700430000004</c:v>
                </c:pt>
                <c:pt idx="47">
                  <c:v>5.5635790319999998</c:v>
                </c:pt>
                <c:pt idx="48">
                  <c:v>5.0390999340000002</c:v>
                </c:pt>
                <c:pt idx="49">
                  <c:v>4.7173356450000004</c:v>
                </c:pt>
                <c:pt idx="50">
                  <c:v>4.4736149039999997</c:v>
                </c:pt>
                <c:pt idx="51">
                  <c:v>4.4452855370000002</c:v>
                </c:pt>
                <c:pt idx="52">
                  <c:v>5.0810979449999998</c:v>
                </c:pt>
                <c:pt idx="53">
                  <c:v>5.0981837499999996</c:v>
                </c:pt>
                <c:pt idx="54">
                  <c:v>4.6988168369999999</c:v>
                </c:pt>
                <c:pt idx="55">
                  <c:v>4.6323475439999999</c:v>
                </c:pt>
                <c:pt idx="56">
                  <c:v>4.599057782</c:v>
                </c:pt>
                <c:pt idx="57">
                  <c:v>4.4247825709999997</c:v>
                </c:pt>
                <c:pt idx="58">
                  <c:v>4.395902049</c:v>
                </c:pt>
                <c:pt idx="59">
                  <c:v>4.4021852160000003</c:v>
                </c:pt>
                <c:pt idx="60">
                  <c:v>4.4566393299999998</c:v>
                </c:pt>
                <c:pt idx="61">
                  <c:v>4.6616689899999999</c:v>
                </c:pt>
                <c:pt idx="62">
                  <c:v>4.7190993409999997</c:v>
                </c:pt>
                <c:pt idx="63">
                  <c:v>5.1724794440000004</c:v>
                </c:pt>
                <c:pt idx="64">
                  <c:v>5.48399225</c:v>
                </c:pt>
                <c:pt idx="65">
                  <c:v>5.6774476549999999</c:v>
                </c:pt>
                <c:pt idx="66">
                  <c:v>5.5856252319999999</c:v>
                </c:pt>
                <c:pt idx="67">
                  <c:v>5.60965559</c:v>
                </c:pt>
                <c:pt idx="68">
                  <c:v>5.7678370750000001</c:v>
                </c:pt>
                <c:pt idx="69">
                  <c:v>5.5335961999999999</c:v>
                </c:pt>
                <c:pt idx="70">
                  <c:v>5.6934311500000003</c:v>
                </c:pt>
                <c:pt idx="71">
                  <c:v>5.7474443400000004</c:v>
                </c:pt>
                <c:pt idx="72">
                  <c:v>5.8064179249999999</c:v>
                </c:pt>
                <c:pt idx="73">
                  <c:v>5.9938106250000001</c:v>
                </c:pt>
                <c:pt idx="74">
                  <c:v>6.0682165499999998</c:v>
                </c:pt>
                <c:pt idx="75">
                  <c:v>5.9745201999999997</c:v>
                </c:pt>
                <c:pt idx="76">
                  <c:v>5.9414509000000004</c:v>
                </c:pt>
                <c:pt idx="77">
                  <c:v>5.8119294750000003</c:v>
                </c:pt>
                <c:pt idx="78">
                  <c:v>5.7342166199999998</c:v>
                </c:pt>
                <c:pt idx="79">
                  <c:v>5.5666655</c:v>
                </c:pt>
                <c:pt idx="80">
                  <c:v>5.4432067799999997</c:v>
                </c:pt>
                <c:pt idx="81">
                  <c:v>5.3324246249999998</c:v>
                </c:pt>
                <c:pt idx="82">
                  <c:v>5.0733817749999996</c:v>
                </c:pt>
                <c:pt idx="83">
                  <c:v>4.7134775600000003</c:v>
                </c:pt>
                <c:pt idx="84">
                  <c:v>4.6517482000000001</c:v>
                </c:pt>
                <c:pt idx="85">
                  <c:v>4.6517482000000001</c:v>
                </c:pt>
                <c:pt idx="86">
                  <c:v>4.8363851249999996</c:v>
                </c:pt>
                <c:pt idx="87">
                  <c:v>5.30431572</c:v>
                </c:pt>
                <c:pt idx="88">
                  <c:v>5.3103784249999997</c:v>
                </c:pt>
                <c:pt idx="89">
                  <c:v>5.0133058799999999</c:v>
                </c:pt>
                <c:pt idx="90">
                  <c:v>4.7840254</c:v>
                </c:pt>
                <c:pt idx="91">
                  <c:v>4.7261541249999999</c:v>
                </c:pt>
                <c:pt idx="92">
                  <c:v>4.9030748800000001</c:v>
                </c:pt>
                <c:pt idx="93">
                  <c:v>4.9796854250000004</c:v>
                </c:pt>
                <c:pt idx="94">
                  <c:v>4.8832332999999997</c:v>
                </c:pt>
                <c:pt idx="95" formatCode="_-* #,##0.0_-;\-* #,##0.0_-;_-* &quot;-&quot;??_-;_-@_-">
                  <c:v>4.7913741333299997</c:v>
                </c:pt>
                <c:pt idx="96" formatCode="_-* #,##0.0_-;\-* #,##0.0_-;_-* &quot;-&quot;??_-;_-@_-">
                  <c:v>4.9963839999999999</c:v>
                </c:pt>
                <c:pt idx="97" formatCode="_-* #,##0.0_-;\-* #,##0.0_-;_-* &quot;-&quot;??_-;_-@_-">
                  <c:v>5.3755649999999999</c:v>
                </c:pt>
                <c:pt idx="98" formatCode="_-* #,##0.0_-;\-* #,##0.0_-;_-* &quot;-&quot;??_-;_-@_-">
                  <c:v>5.7297919999999998</c:v>
                </c:pt>
                <c:pt idx="99" formatCode="_-* #,##0.0_-;\-* #,##0.0_-;_-* &quot;-&quot;??_-;_-@_-">
                  <c:v>6.0502799999999999</c:v>
                </c:pt>
                <c:pt idx="100" formatCode="_-* #,##0.0_-;\-* #,##0.0_-;_-* &quot;-&quot;??_-;_-@_-">
                  <c:v>5.8763092500000003</c:v>
                </c:pt>
                <c:pt idx="101" formatCode="_-* #,##0.0_-;\-* #,##0.0_-;_-* &quot;-&quot;??_-;_-@_-">
                  <c:v>5.8516947999999998</c:v>
                </c:pt>
                <c:pt idx="102" formatCode="_-* #,##0.0_-;\-* #,##0.0_-;_-* &quot;-&quot;??_-;_-@_-">
                  <c:v>6.1882875000000004</c:v>
                </c:pt>
                <c:pt idx="103" formatCode="_-* #,##0.0_-;\-* #,##0.0_-;_-* &quot;-&quot;??_-;_-@_-">
                  <c:v>6.3351727999999996</c:v>
                </c:pt>
                <c:pt idx="104" formatCode="_-* #,##0.0_-;\-* #,##0.0_-;_-* &quot;-&quot;??_-;_-@_-">
                  <c:v>6.2960425000000004</c:v>
                </c:pt>
                <c:pt idx="105" formatCode="_-* #,##0.0_-;\-* #,##0.0_-;_-* &quot;-&quot;??_-;_-@_-">
                  <c:v>6.0597659999999998</c:v>
                </c:pt>
                <c:pt idx="106" formatCode="_-* #,##0.0_-;\-* #,##0.0_-;_-* &quot;-&quot;??_-;_-@_-">
                  <c:v>6.1830420000000004</c:v>
                </c:pt>
                <c:pt idx="107" formatCode="_-* #,##0.0_-;\-* #,##0.0_-;_-* &quot;-&quot;??_-;_-@_-">
                  <c:v>6.2332504999999996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DC-496F-B813-4154A4FE6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103232"/>
        <c:axId val="1254106560"/>
      </c:lineChart>
      <c:catAx>
        <c:axId val="125410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254106560"/>
        <c:crosses val="autoZero"/>
        <c:auto val="1"/>
        <c:lblAlgn val="ctr"/>
        <c:lblOffset val="100"/>
        <c:noMultiLvlLbl val="0"/>
      </c:catAx>
      <c:valAx>
        <c:axId val="1254106560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25410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 10'!$E$3:$E$12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 (p)</c:v>
                </c:pt>
                <c:pt idx="8">
                  <c:v>2023 (p)</c:v>
                </c:pt>
                <c:pt idx="9">
                  <c:v>2024 (p)</c:v>
                </c:pt>
              </c:strCache>
            </c:strRef>
          </c:cat>
          <c:val>
            <c:numRef>
              <c:f>'Gráf 10'!$F$3:$F$12</c:f>
              <c:numCache>
                <c:formatCode>_-* #,##0.0\ _€_-;\-* #,##0.0\ _€_-;_-* "-"??\ _€_-;_-@_-</c:formatCode>
                <c:ptCount val="10"/>
                <c:pt idx="0">
                  <c:v>179.24377268066996</c:v>
                </c:pt>
                <c:pt idx="1">
                  <c:v>197.0907082933</c:v>
                </c:pt>
                <c:pt idx="2">
                  <c:v>201.41540260560001</c:v>
                </c:pt>
                <c:pt idx="3">
                  <c:v>218.87068766193002</c:v>
                </c:pt>
                <c:pt idx="4">
                  <c:v>204.20321218880602</c:v>
                </c:pt>
                <c:pt idx="5">
                  <c:v>193.17229806700001</c:v>
                </c:pt>
                <c:pt idx="6">
                  <c:v>213.44697087890003</c:v>
                </c:pt>
                <c:pt idx="7">
                  <c:v>230.09037560770003</c:v>
                </c:pt>
                <c:pt idx="8">
                  <c:v>250.5915781179709</c:v>
                </c:pt>
                <c:pt idx="9">
                  <c:v>252.92811263449164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3-4F1F-B086-CEF32D47F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11728"/>
        <c:axId val="41211312"/>
      </c:barChart>
      <c:catAx>
        <c:axId val="4121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41211312"/>
        <c:crosses val="autoZero"/>
        <c:auto val="1"/>
        <c:lblAlgn val="ctr"/>
        <c:lblOffset val="100"/>
        <c:noMultiLvlLbl val="0"/>
      </c:catAx>
      <c:valAx>
        <c:axId val="412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\ _€_-;\-* #,##0.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4121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 11'!$H$4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 11'!$G$5:$G$9</c:f>
              <c:strCache>
                <c:ptCount val="5"/>
                <c:pt idx="0">
                  <c:v>Argentina</c:v>
                </c:pt>
                <c:pt idx="1">
                  <c:v>Bolivia</c:v>
                </c:pt>
                <c:pt idx="2">
                  <c:v>Brasil</c:v>
                </c:pt>
                <c:pt idx="3">
                  <c:v>Paraguay</c:v>
                </c:pt>
                <c:pt idx="4">
                  <c:v>Perú</c:v>
                </c:pt>
              </c:strCache>
            </c:strRef>
          </c:cat>
          <c:val>
            <c:numRef>
              <c:f>'Grafi 11'!$H$5:$H$9</c:f>
              <c:numCache>
                <c:formatCode>#,##0</c:formatCode>
                <c:ptCount val="5"/>
                <c:pt idx="0">
                  <c:v>221</c:v>
                </c:pt>
                <c:pt idx="1">
                  <c:v>194.7</c:v>
                </c:pt>
                <c:pt idx="2">
                  <c:v>240.8</c:v>
                </c:pt>
                <c:pt idx="3">
                  <c:v>234</c:v>
                </c:pt>
                <c:pt idx="4">
                  <c:v>142.6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1-407D-B1B8-EC424C38E2D4}"/>
            </c:ext>
          </c:extLst>
        </c:ser>
        <c:ser>
          <c:idx val="1"/>
          <c:order val="1"/>
          <c:tx>
            <c:strRef>
              <c:f>'Grafi 11'!$I$4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 11'!$G$5:$G$9</c:f>
              <c:strCache>
                <c:ptCount val="5"/>
                <c:pt idx="0">
                  <c:v>Argentina</c:v>
                </c:pt>
                <c:pt idx="1">
                  <c:v>Bolivia</c:v>
                </c:pt>
                <c:pt idx="2">
                  <c:v>Brasil</c:v>
                </c:pt>
                <c:pt idx="3">
                  <c:v>Paraguay</c:v>
                </c:pt>
                <c:pt idx="4">
                  <c:v>Perú</c:v>
                </c:pt>
              </c:strCache>
            </c:strRef>
          </c:cat>
          <c:val>
            <c:numRef>
              <c:f>'Grafi 11'!$I$5:$I$9</c:f>
              <c:numCache>
                <c:formatCode>#,##0</c:formatCode>
                <c:ptCount val="5"/>
                <c:pt idx="0">
                  <c:v>227.9</c:v>
                </c:pt>
                <c:pt idx="1">
                  <c:v>194.8</c:v>
                </c:pt>
                <c:pt idx="2">
                  <c:v>250</c:v>
                </c:pt>
                <c:pt idx="3">
                  <c:v>234.3</c:v>
                </c:pt>
                <c:pt idx="4">
                  <c:v>140.69999999999999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1-407D-B1B8-EC424C38E2D4}"/>
            </c:ext>
          </c:extLst>
        </c:ser>
        <c:ser>
          <c:idx val="2"/>
          <c:order val="2"/>
          <c:tx>
            <c:strRef>
              <c:f>'Grafi 11'!$J$4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 11'!$G$5:$G$9</c:f>
              <c:strCache>
                <c:ptCount val="5"/>
                <c:pt idx="0">
                  <c:v>Argentina</c:v>
                </c:pt>
                <c:pt idx="1">
                  <c:v>Bolivia</c:v>
                </c:pt>
                <c:pt idx="2">
                  <c:v>Brasil</c:v>
                </c:pt>
                <c:pt idx="3">
                  <c:v>Paraguay</c:v>
                </c:pt>
                <c:pt idx="4">
                  <c:v>Perú</c:v>
                </c:pt>
              </c:strCache>
            </c:strRef>
          </c:cat>
          <c:val>
            <c:numRef>
              <c:f>'Grafi 11'!$J$5:$J$9</c:f>
              <c:numCache>
                <c:formatCode>#,##0</c:formatCode>
                <c:ptCount val="5"/>
                <c:pt idx="0">
                  <c:v>226.4</c:v>
                </c:pt>
                <c:pt idx="1">
                  <c:v>200.8</c:v>
                </c:pt>
                <c:pt idx="2">
                  <c:v>245</c:v>
                </c:pt>
                <c:pt idx="3">
                  <c:v>227.4</c:v>
                </c:pt>
                <c:pt idx="4">
                  <c:v>147.80000000000001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B1-407D-B1B8-EC424C38E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546272"/>
        <c:axId val="782541696"/>
      </c:barChart>
      <c:catAx>
        <c:axId val="78254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82541696"/>
        <c:crosses val="autoZero"/>
        <c:auto val="1"/>
        <c:lblAlgn val="ctr"/>
        <c:lblOffset val="100"/>
        <c:noMultiLvlLbl val="0"/>
      </c:catAx>
      <c:valAx>
        <c:axId val="7825416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78254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14698162729642E-2"/>
          <c:y val="3.7453703703703718E-2"/>
          <c:w val="0.95552974628171483"/>
          <c:h val="0.86440616797900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 12 nn'!$B$21</c:f>
              <c:strCache>
                <c:ptCount val="1"/>
                <c:pt idx="0">
                  <c:v> T O T A L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12 nn'!$A$22:$A$29</c:f>
              <c:strCache>
                <c:ptCount val="8"/>
                <c:pt idx="0">
                  <c:v>2016 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 (p)</c:v>
                </c:pt>
                <c:pt idx="5">
                  <c:v>2021 (p)</c:v>
                </c:pt>
                <c:pt idx="6">
                  <c:v>2022 (p)</c:v>
                </c:pt>
                <c:pt idx="7">
                  <c:v>2023 (p)</c:v>
                </c:pt>
              </c:strCache>
            </c:strRef>
          </c:cat>
          <c:val>
            <c:numRef>
              <c:f>'graf 12 nn'!$B$22:$B$29</c:f>
              <c:numCache>
                <c:formatCode>_-* #,##0.0\ _€_-;\-* #,##0.0\ _€_-;_-* "-"??\ _€_-;_-@_-</c:formatCode>
                <c:ptCount val="8"/>
                <c:pt idx="0">
                  <c:v>9.1193439999999999</c:v>
                </c:pt>
                <c:pt idx="1">
                  <c:v>9.3045720000000003</c:v>
                </c:pt>
                <c:pt idx="2">
                  <c:v>9.5561954636951736</c:v>
                </c:pt>
                <c:pt idx="3">
                  <c:v>9.7414747450185395</c:v>
                </c:pt>
                <c:pt idx="4">
                  <c:v>10.103766859908403</c:v>
                </c:pt>
                <c:pt idx="5">
                  <c:v>10.385481864747156</c:v>
                </c:pt>
                <c:pt idx="6">
                  <c:v>10.739448399677569</c:v>
                </c:pt>
                <c:pt idx="7">
                  <c:v>11.099476436293049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A-4D1F-8FE0-E20A5B50A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231120"/>
        <c:axId val="2110231952"/>
      </c:barChart>
      <c:catAx>
        <c:axId val="211023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2110231952"/>
        <c:crosses val="autoZero"/>
        <c:auto val="1"/>
        <c:lblAlgn val="ctr"/>
        <c:lblOffset val="100"/>
        <c:noMultiLvlLbl val="0"/>
      </c:catAx>
      <c:valAx>
        <c:axId val="2110231952"/>
        <c:scaling>
          <c:orientation val="minMax"/>
        </c:scaling>
        <c:delete val="1"/>
        <c:axPos val="l"/>
        <c:numFmt formatCode="_-* #,##0.0\ _€_-;\-* #,##0.0\ _€_-;_-* &quot;-&quot;??\ _€_-;_-@_-" sourceLinked="1"/>
        <c:majorTickMark val="none"/>
        <c:minorTickMark val="none"/>
        <c:tickLblPos val="nextTo"/>
        <c:crossAx val="211023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3CC33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 13'!$C$1:$K$1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 (p)</c:v>
                </c:pt>
                <c:pt idx="7">
                  <c:v>2023 (p)</c:v>
                </c:pt>
                <c:pt idx="8">
                  <c:v>2024 (p)</c:v>
                </c:pt>
              </c:strCache>
            </c:strRef>
          </c:cat>
          <c:val>
            <c:numRef>
              <c:f>'grafi 13'!$C$2:$K$2</c:f>
              <c:numCache>
                <c:formatCode>#,##0</c:formatCode>
                <c:ptCount val="9"/>
                <c:pt idx="0">
                  <c:v>2615.8445200000001</c:v>
                </c:pt>
                <c:pt idx="1">
                  <c:v>2606.4294</c:v>
                </c:pt>
                <c:pt idx="2">
                  <c:v>3244.35851</c:v>
                </c:pt>
                <c:pt idx="3">
                  <c:v>5169.4044899999999</c:v>
                </c:pt>
                <c:pt idx="4">
                  <c:v>16666.210739999999</c:v>
                </c:pt>
                <c:pt idx="5">
                  <c:v>19142.386440000002</c:v>
                </c:pt>
                <c:pt idx="6">
                  <c:v>21249.386909999997</c:v>
                </c:pt>
                <c:pt idx="7">
                  <c:v>29301.807970000002</c:v>
                </c:pt>
                <c:pt idx="8">
                  <c:v>43439.010710000002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C-4245-AB43-F3373E3E2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0684639"/>
        <c:axId val="1520686719"/>
      </c:barChart>
      <c:catAx>
        <c:axId val="152068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520686719"/>
        <c:crosses val="autoZero"/>
        <c:auto val="1"/>
        <c:lblAlgn val="ctr"/>
        <c:lblOffset val="100"/>
        <c:noMultiLvlLbl val="0"/>
      </c:catAx>
      <c:valAx>
        <c:axId val="1520686719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2068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BO" b="1"/>
              <a:t>Bolivia: Exportacion</a:t>
            </a:r>
            <a:r>
              <a:rPr lang="es-BO" b="1" baseline="0"/>
              <a:t> de carne bovina, en miles de toneladas, </a:t>
            </a:r>
          </a:p>
          <a:p>
            <a:pPr>
              <a:defRPr/>
            </a:pPr>
            <a:r>
              <a:rPr lang="es-BO" b="1" baseline="0"/>
              <a:t>año 2016 - 2023</a:t>
            </a:r>
            <a:endParaRPr lang="es-B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 14'!$B$2</c:f>
              <c:strCache>
                <c:ptCount val="1"/>
                <c:pt idx="0">
                  <c:v>Carne bovina</c:v>
                </c:pt>
              </c:strCache>
            </c:strRef>
          </c:tx>
          <c:spPr>
            <a:solidFill>
              <a:srgbClr val="E8F5E9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 14'!$D$1:$M$1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 (p)</c:v>
                </c:pt>
                <c:pt idx="7">
                  <c:v>2023</c:v>
                </c:pt>
                <c:pt idx="8">
                  <c:v>2024 (p)</c:v>
                </c:pt>
                <c:pt idx="9">
                  <c:v>2025 (p)</c:v>
                </c:pt>
              </c:strCache>
            </c:strRef>
          </c:cat>
          <c:val>
            <c:numRef>
              <c:f>'Grafi 14'!$D$2:$M$2</c:f>
              <c:numCache>
                <c:formatCode>#,##0</c:formatCode>
                <c:ptCount val="10"/>
                <c:pt idx="0">
                  <c:v>2.61584452</c:v>
                </c:pt>
                <c:pt idx="1">
                  <c:v>2.6064294000000001</c:v>
                </c:pt>
                <c:pt idx="2">
                  <c:v>3.2443585100000001</c:v>
                </c:pt>
                <c:pt idx="3">
                  <c:v>5.1694044899999998</c:v>
                </c:pt>
                <c:pt idx="4">
                  <c:v>16.66621074</c:v>
                </c:pt>
                <c:pt idx="5">
                  <c:v>19.142386440000003</c:v>
                </c:pt>
                <c:pt idx="6">
                  <c:v>21.249386909999998</c:v>
                </c:pt>
                <c:pt idx="7" formatCode="#,##0.0">
                  <c:v>29.301807970000002</c:v>
                </c:pt>
                <c:pt idx="8" formatCode="#,##0.0">
                  <c:v>46.892895130000007</c:v>
                </c:pt>
                <c:pt idx="9" formatCode="#,##0.0">
                  <c:v>43.882590670000006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F-46D2-8125-5431A9B60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958863"/>
        <c:axId val="1621959695"/>
      </c:barChart>
      <c:catAx>
        <c:axId val="162195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621959695"/>
        <c:crosses val="autoZero"/>
        <c:auto val="1"/>
        <c:lblAlgn val="ctr"/>
        <c:lblOffset val="100"/>
        <c:noMultiLvlLbl val="0"/>
      </c:catAx>
      <c:valAx>
        <c:axId val="162195969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2195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8000">
          <a:schemeClr val="bg1"/>
        </a:gs>
        <a:gs pos="53000">
          <a:schemeClr val="bg1">
            <a:lumMod val="85000"/>
          </a:schemeClr>
        </a:gs>
        <a:gs pos="100000">
          <a:srgbClr val="1B5E20"/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 14'!$B$4</c:f>
              <c:strCache>
                <c:ptCount val="1"/>
                <c:pt idx="0">
                  <c:v>Absoluta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044459496326400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9E-4362-AF22-41C0E6364699}"/>
                </c:ext>
              </c:extLst>
            </c:dLbl>
            <c:dLbl>
              <c:idx val="7"/>
              <c:layout>
                <c:manualLayout>
                  <c:x val="-1.0185067526415994E-16"/>
                  <c:y val="-8.808135542197015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40-4435-90E8-F01511DA2876}"/>
                </c:ext>
              </c:extLst>
            </c:dLbl>
            <c:dLbl>
              <c:idx val="8"/>
              <c:layout>
                <c:manualLayout>
                  <c:x val="4.7619047619045871E-3"/>
                  <c:y val="6.562996829697363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4-483E-85EA-CC1642734C8A}"/>
                </c:ext>
              </c:extLst>
            </c:dLbl>
            <c:numFmt formatCode="#,##0.0" sourceLinked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rgbClr val="7030A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 14'!$D$1:$L$1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 (p)</c:v>
                </c:pt>
                <c:pt idx="7">
                  <c:v>2023</c:v>
                </c:pt>
                <c:pt idx="8">
                  <c:v>2024 (p)</c:v>
                </c:pt>
              </c:strCache>
            </c:strRef>
          </c:cat>
          <c:val>
            <c:numRef>
              <c:f>'Grafi 14'!$D$4:$L$4</c:f>
              <c:numCache>
                <c:formatCode>#,##0</c:formatCode>
                <c:ptCount val="9"/>
                <c:pt idx="0">
                  <c:v>-0.66845557999999983</c:v>
                </c:pt>
                <c:pt idx="1">
                  <c:v>-9.415119999999888E-3</c:v>
                </c:pt>
                <c:pt idx="2">
                  <c:v>0.63792910999999997</c:v>
                </c:pt>
                <c:pt idx="3">
                  <c:v>1.9250459799999997</c:v>
                </c:pt>
                <c:pt idx="4">
                  <c:v>11.496806250000001</c:v>
                </c:pt>
                <c:pt idx="5">
                  <c:v>2.4761757000000024</c:v>
                </c:pt>
                <c:pt idx="6">
                  <c:v>2.1070004699999956</c:v>
                </c:pt>
                <c:pt idx="7">
                  <c:v>8.0524210600000039</c:v>
                </c:pt>
                <c:pt idx="8">
                  <c:v>17.591087160000004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9E-4362-AF22-41C0E6364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1958863"/>
        <c:axId val="1621959695"/>
      </c:barChart>
      <c:lineChart>
        <c:grouping val="standard"/>
        <c:varyColors val="0"/>
        <c:ser>
          <c:idx val="1"/>
          <c:order val="1"/>
          <c:tx>
            <c:strRef>
              <c:f>'Grafi 14'!$B$3</c:f>
              <c:strCache>
                <c:ptCount val="1"/>
                <c:pt idx="0">
                  <c:v>Variación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4.756255468066492E-2"/>
                  <c:y val="-0.119641388912407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9E-4362-AF22-41C0E6364699}"/>
                </c:ext>
              </c:extLst>
            </c:dLbl>
            <c:dLbl>
              <c:idx val="6"/>
              <c:layout>
                <c:manualLayout>
                  <c:x val="-4.756255468066492E-2"/>
                  <c:y val="-0.110083443870591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9E-4362-AF22-41C0E6364699}"/>
                </c:ext>
              </c:extLst>
            </c:dLbl>
            <c:dLbl>
              <c:idx val="7"/>
              <c:layout>
                <c:manualLayout>
                  <c:x val="-4.6520997375328291E-2"/>
                  <c:y val="-7.7288027168646925E-2"/>
                </c:manualLayout>
              </c:layout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40-4435-90E8-F01511DA2876}"/>
                </c:ext>
              </c:extLst>
            </c:dLbl>
            <c:dLbl>
              <c:idx val="8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s-BO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024-483E-85EA-CC1642734C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 14'!$D$1:$J$1</c:f>
              <c:strCach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 (p)</c:v>
                </c:pt>
              </c:strCache>
            </c:strRef>
          </c:cat>
          <c:val>
            <c:numRef>
              <c:f>'Grafi 14'!$D$3:$L$3</c:f>
              <c:numCache>
                <c:formatCode>0%</c:formatCode>
                <c:ptCount val="9"/>
                <c:pt idx="0">
                  <c:v>-0.20353060306517051</c:v>
                </c:pt>
                <c:pt idx="1">
                  <c:v>-3.5992659074400523E-3</c:v>
                </c:pt>
                <c:pt idx="2">
                  <c:v>0.24475211567211447</c:v>
                </c:pt>
                <c:pt idx="3">
                  <c:v>0.59335180562397205</c:v>
                </c:pt>
                <c:pt idx="4">
                  <c:v>2.2240098007884854</c:v>
                </c:pt>
                <c:pt idx="5">
                  <c:v>0.14857460634750155</c:v>
                </c:pt>
                <c:pt idx="6">
                  <c:v>0.11006989523506847</c:v>
                </c:pt>
                <c:pt idx="7">
                  <c:v>0.37894839479865278</c:v>
                </c:pt>
                <c:pt idx="8">
                  <c:v>0.6003413570251448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D9E-4362-AF22-41C0E6364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133439"/>
        <c:axId val="1558135519"/>
      </c:lineChart>
      <c:catAx>
        <c:axId val="162195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621959695"/>
        <c:crosses val="autoZero"/>
        <c:auto val="1"/>
        <c:lblAlgn val="ctr"/>
        <c:lblOffset val="100"/>
        <c:noMultiLvlLbl val="0"/>
      </c:catAx>
      <c:valAx>
        <c:axId val="16219596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621958863"/>
        <c:crosses val="autoZero"/>
        <c:crossBetween val="between"/>
      </c:valAx>
      <c:valAx>
        <c:axId val="155813551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558133439"/>
        <c:crosses val="max"/>
        <c:crossBetween val="between"/>
      </c:valAx>
      <c:catAx>
        <c:axId val="1558133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8135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'Grafi 15'!$A$25</c:f>
              <c:strCache>
                <c:ptCount val="1"/>
                <c:pt idx="0">
                  <c:v>Carne congelada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'Grafi 15'!$B$24:$J$24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 (p)</c:v>
                </c:pt>
                <c:pt idx="7">
                  <c:v>2023 (p)</c:v>
                </c:pt>
                <c:pt idx="8">
                  <c:v>2024 (p)</c:v>
                </c:pt>
              </c:strCache>
            </c:strRef>
          </c:cat>
          <c:val>
            <c:numRef>
              <c:f>'Grafi 15'!$B$25:$J$25</c:f>
              <c:numCache>
                <c:formatCode>0%</c:formatCode>
                <c:ptCount val="9"/>
                <c:pt idx="0">
                  <c:v>0.14269156180582171</c:v>
                </c:pt>
                <c:pt idx="1">
                  <c:v>0.11218417042103654</c:v>
                </c:pt>
                <c:pt idx="2">
                  <c:v>0.15894713497615279</c:v>
                </c:pt>
                <c:pt idx="3">
                  <c:v>0.49359266912386651</c:v>
                </c:pt>
                <c:pt idx="4">
                  <c:v>0.86921488849480377</c:v>
                </c:pt>
                <c:pt idx="5">
                  <c:v>0.87778917914270249</c:v>
                </c:pt>
                <c:pt idx="6">
                  <c:v>0.91413358711345527</c:v>
                </c:pt>
                <c:pt idx="7">
                  <c:v>0.92538118561699112</c:v>
                </c:pt>
                <c:pt idx="8">
                  <c:v>0.92538118561699112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A-475F-A89A-4E36ADCC4BC2}"/>
            </c:ext>
          </c:extLst>
        </c:ser>
        <c:ser>
          <c:idx val="1"/>
          <c:order val="1"/>
          <c:tx>
            <c:strRef>
              <c:f>'Grafi 15'!$A$26</c:f>
              <c:strCache>
                <c:ptCount val="1"/>
                <c:pt idx="0">
                  <c:v>Hamburguesa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'Grafi 15'!$B$24:$J$24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 (p)</c:v>
                </c:pt>
                <c:pt idx="7">
                  <c:v>2023 (p)</c:v>
                </c:pt>
                <c:pt idx="8">
                  <c:v>2024 (p)</c:v>
                </c:pt>
              </c:strCache>
            </c:strRef>
          </c:cat>
          <c:val>
            <c:numRef>
              <c:f>'Grafi 15'!$B$26:$J$26</c:f>
              <c:numCache>
                <c:formatCode>0%</c:formatCode>
                <c:ptCount val="9"/>
                <c:pt idx="0">
                  <c:v>0.55759304838194279</c:v>
                </c:pt>
                <c:pt idx="1">
                  <c:v>0.63278213098731928</c:v>
                </c:pt>
                <c:pt idx="2">
                  <c:v>0.58772346339739134</c:v>
                </c:pt>
                <c:pt idx="3">
                  <c:v>0.40591486776845354</c:v>
                </c:pt>
                <c:pt idx="4">
                  <c:v>8.750132485124211E-2</c:v>
                </c:pt>
                <c:pt idx="5">
                  <c:v>8.6918081777059758E-2</c:v>
                </c:pt>
                <c:pt idx="6">
                  <c:v>8.2456762513719029E-2</c:v>
                </c:pt>
                <c:pt idx="7">
                  <c:v>7.0140267184339203E-2</c:v>
                </c:pt>
                <c:pt idx="8">
                  <c:v>7.0140267184339203E-2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9A-475F-A89A-4E36ADCC4BC2}"/>
            </c:ext>
          </c:extLst>
        </c:ser>
        <c:ser>
          <c:idx val="2"/>
          <c:order val="2"/>
          <c:tx>
            <c:strRef>
              <c:f>'Grafi 15'!$A$27</c:f>
              <c:strCache>
                <c:ptCount val="1"/>
                <c:pt idx="0">
                  <c:v>Carne fresca o refrigera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'Grafi 15'!$B$24:$J$24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 (p)</c:v>
                </c:pt>
                <c:pt idx="7">
                  <c:v>2023 (p)</c:v>
                </c:pt>
                <c:pt idx="8">
                  <c:v>2024 (p)</c:v>
                </c:pt>
              </c:strCache>
            </c:strRef>
          </c:cat>
          <c:val>
            <c:numRef>
              <c:f>'Grafi 15'!$B$27:$J$27</c:f>
              <c:numCache>
                <c:formatCode>0%</c:formatCode>
                <c:ptCount val="9"/>
                <c:pt idx="0">
                  <c:v>0.29971538981223544</c:v>
                </c:pt>
                <c:pt idx="1">
                  <c:v>0.25503369859164415</c:v>
                </c:pt>
                <c:pt idx="2">
                  <c:v>0.2533294016264559</c:v>
                </c:pt>
                <c:pt idx="3">
                  <c:v>0.10049246310767992</c:v>
                </c:pt>
                <c:pt idx="4">
                  <c:v>4.3283786653954194E-2</c:v>
                </c:pt>
                <c:pt idx="5">
                  <c:v>3.5292739080237688E-2</c:v>
                </c:pt>
                <c:pt idx="6">
                  <c:v>3.4096503728257444E-3</c:v>
                </c:pt>
                <c:pt idx="7">
                  <c:v>4.478547198669666E-3</c:v>
                </c:pt>
                <c:pt idx="8">
                  <c:v>4.478547198669666E-3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9A-475F-A89A-4E36ADCC4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990367"/>
        <c:axId val="1610994111"/>
      </c:areaChart>
      <c:catAx>
        <c:axId val="1610990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610994111"/>
        <c:crosses val="autoZero"/>
        <c:auto val="1"/>
        <c:lblAlgn val="ctr"/>
        <c:lblOffset val="100"/>
        <c:noMultiLvlLbl val="0"/>
      </c:catAx>
      <c:valAx>
        <c:axId val="16109941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610990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BO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71-4B1B-997C-22822D717C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71-4B1B-997C-22822D717C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671-4B1B-997C-22822D717C6C}"/>
              </c:ext>
            </c:extLst>
          </c:dPt>
          <c:dLbls>
            <c:dLbl>
              <c:idx val="0"/>
              <c:layout>
                <c:manualLayout>
                  <c:x val="7.1975065616797897E-3"/>
                  <c:y val="-4.699256342957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71-4B1B-997C-22822D717C6C}"/>
                </c:ext>
              </c:extLst>
            </c:dLbl>
            <c:dLbl>
              <c:idx val="1"/>
              <c:layout>
                <c:manualLayout>
                  <c:x val="4.2722003499562552E-2"/>
                  <c:y val="4.472368037328667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71-4B1B-997C-22822D717C6C}"/>
                </c:ext>
              </c:extLst>
            </c:dLbl>
            <c:dLbl>
              <c:idx val="2"/>
              <c:layout>
                <c:manualLayout>
                  <c:x val="-9.7373797025371828E-2"/>
                  <c:y val="-9.878973461650626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71-4B1B-997C-22822D717C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 16'!$A$2:$A$4</c:f>
              <c:strCache>
                <c:ptCount val="3"/>
                <c:pt idx="0">
                  <c:v>Pequeña</c:v>
                </c:pt>
                <c:pt idx="1">
                  <c:v>Mediano</c:v>
                </c:pt>
                <c:pt idx="2">
                  <c:v>Grande</c:v>
                </c:pt>
              </c:strCache>
            </c:strRef>
          </c:cat>
          <c:val>
            <c:numRef>
              <c:f>'Graf 16'!$B$2:$B$4</c:f>
              <c:numCache>
                <c:formatCode>0%</c:formatCode>
                <c:ptCount val="3"/>
                <c:pt idx="0">
                  <c:v>0.4</c:v>
                </c:pt>
                <c:pt idx="1">
                  <c:v>0.3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1-4B1B-997C-22822D717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'Tab 2'!$C$3</c:f>
              <c:strCache>
                <c:ptCount val="1"/>
                <c:pt idx="0">
                  <c:v>TCRM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'Tab 2'!$B$4:$B$11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'Tab 2'!$C$4:$C$11</c:f>
              <c:numCache>
                <c:formatCode>General</c:formatCode>
                <c:ptCount val="8"/>
                <c:pt idx="0">
                  <c:v>62.7</c:v>
                </c:pt>
                <c:pt idx="1">
                  <c:v>64.099999999999994</c:v>
                </c:pt>
                <c:pt idx="2">
                  <c:v>62.4</c:v>
                </c:pt>
                <c:pt idx="3">
                  <c:v>60.2</c:v>
                </c:pt>
                <c:pt idx="4">
                  <c:v>57.8</c:v>
                </c:pt>
                <c:pt idx="5">
                  <c:v>59.6</c:v>
                </c:pt>
                <c:pt idx="6">
                  <c:v>59.5</c:v>
                </c:pt>
                <c:pt idx="7">
                  <c:v>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B-415C-ADE4-9BACBEF63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4130575"/>
        <c:axId val="1974131823"/>
      </c:lineChart>
      <c:catAx>
        <c:axId val="197413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BO"/>
          </a:p>
        </c:txPr>
        <c:crossAx val="1974131823"/>
        <c:crosses val="autoZero"/>
        <c:auto val="1"/>
        <c:lblAlgn val="ctr"/>
        <c:lblOffset val="100"/>
        <c:noMultiLvlLbl val="0"/>
      </c:catAx>
      <c:valAx>
        <c:axId val="19741318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413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2BD68D61-971C-4303-A6F1-0B1E208FE8B8}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FFFFFF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s-BO" sz="1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endParaRPr lang="es-BO" sz="1000">
            <a:latin typeface="Times New Roman" panose="02020603050405020304" pitchFamily="18" charset="0"/>
            <a:cs typeface="Times New Roman" panose="02020603050405020304" pitchFamily="18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8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10</xdr:col>
      <xdr:colOff>33617</xdr:colOff>
      <xdr:row>26</xdr:row>
      <xdr:rowOff>134471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2B008F-4C68-4589-8CD6-533CD5DE2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240925</xdr:colOff>
      <xdr:row>10</xdr:row>
      <xdr:rowOff>51546</xdr:rowOff>
    </xdr:from>
    <xdr:to>
      <xdr:col>22</xdr:col>
      <xdr:colOff>515469</xdr:colOff>
      <xdr:row>29</xdr:row>
      <xdr:rowOff>26893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7D2655-4855-4B94-8337-5837A898C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196102</xdr:colOff>
      <xdr:row>47</xdr:row>
      <xdr:rowOff>51547</xdr:rowOff>
    </xdr:from>
    <xdr:to>
      <xdr:col>11</xdr:col>
      <xdr:colOff>459441</xdr:colOff>
      <xdr:row>66</xdr:row>
      <xdr:rowOff>26894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679DFE-A9E6-4158-9755-4FC4B032B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3</xdr:row>
      <xdr:rowOff>23812</xdr:rowOff>
    </xdr:from>
    <xdr:to>
      <xdr:col>10</xdr:col>
      <xdr:colOff>902806</xdr:colOff>
      <xdr:row>23</xdr:row>
      <xdr:rowOff>49696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65DAB4-0983-44C8-8A04-A11D2EC8F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623887</xdr:colOff>
      <xdr:row>4</xdr:row>
      <xdr:rowOff>176211</xdr:rowOff>
    </xdr:from>
    <xdr:to>
      <xdr:col>17</xdr:col>
      <xdr:colOff>66675</xdr:colOff>
      <xdr:row>17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86EDE1-09A5-4C4F-AF23-3291F2943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433387</xdr:colOff>
      <xdr:row>7</xdr:row>
      <xdr:rowOff>128587</xdr:rowOff>
    </xdr:from>
    <xdr:to>
      <xdr:col>21</xdr:col>
      <xdr:colOff>476250</xdr:colOff>
      <xdr:row>27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23AEA0-B5BF-44A9-9983-F1F791AC8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547687</xdr:colOff>
      <xdr:row>26</xdr:row>
      <xdr:rowOff>71437</xdr:rowOff>
    </xdr:from>
    <xdr:to>
      <xdr:col>8</xdr:col>
      <xdr:colOff>547687</xdr:colOff>
      <xdr:row>40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25E9D4-9B6F-4B07-95B4-4410FE547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44263</xdr:colOff>
      <xdr:row>70</xdr:row>
      <xdr:rowOff>155201</xdr:rowOff>
    </xdr:from>
    <xdr:to>
      <xdr:col>19</xdr:col>
      <xdr:colOff>44263</xdr:colOff>
      <xdr:row>85</xdr:row>
      <xdr:rowOff>127747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44CF94-FC9B-EBF6-05CC-9AD580BFB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17087</xdr:colOff>
      <xdr:row>2</xdr:row>
      <xdr:rowOff>161644</xdr:rowOff>
    </xdr:from>
    <xdr:to>
      <xdr:col>18</xdr:col>
      <xdr:colOff>536200</xdr:colOff>
      <xdr:row>18</xdr:row>
      <xdr:rowOff>25213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F7BC0D-03FB-4D56-9C12-D12371045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623887</xdr:colOff>
      <xdr:row>4</xdr:row>
      <xdr:rowOff>176211</xdr:rowOff>
    </xdr:from>
    <xdr:to>
      <xdr:col>18</xdr:col>
      <xdr:colOff>66675</xdr:colOff>
      <xdr:row>17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8690CE-BC7B-4B8C-9E1E-D4BCC670E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395286</xdr:colOff>
      <xdr:row>5</xdr:row>
      <xdr:rowOff>85725</xdr:rowOff>
    </xdr:from>
    <xdr:to>
      <xdr:col>9</xdr:col>
      <xdr:colOff>76199</xdr:colOff>
      <xdr:row>20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9C274C-0856-4B6E-8BE0-E6909937C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785812</xdr:colOff>
      <xdr:row>1</xdr:row>
      <xdr:rowOff>195262</xdr:rowOff>
    </xdr:from>
    <xdr:to>
      <xdr:col>11</xdr:col>
      <xdr:colOff>328612</xdr:colOff>
      <xdr:row>15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F6B487-B2A5-4C02-BDEC-D053C5EC4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9</xdr:col>
      <xdr:colOff>258536</xdr:colOff>
      <xdr:row>19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5B73C0-33F8-4F18-BB57-70C345350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0</xdr:rowOff>
    </xdr:from>
    <xdr:to>
      <xdr:col>13</xdr:col>
      <xdr:colOff>276225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3E5EF2-32F6-41F8-9C30-C15587543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315447</xdr:colOff>
      <xdr:row>12</xdr:row>
      <xdr:rowOff>18209</xdr:rowOff>
    </xdr:from>
    <xdr:to>
      <xdr:col>10</xdr:col>
      <xdr:colOff>493060</xdr:colOff>
      <xdr:row>26</xdr:row>
      <xdr:rowOff>96090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2DCAC8-85F8-3BFA-4778-094171CB6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22</xdr:row>
      <xdr:rowOff>0</xdr:rowOff>
    </xdr:from>
    <xdr:to>
      <xdr:col>11</xdr:col>
      <xdr:colOff>0</xdr:colOff>
      <xdr:row>36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370FA1-8551-4DB1-A25E-17BAFB236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63873</xdr:colOff>
      <xdr:row>5</xdr:row>
      <xdr:rowOff>138673</xdr:rowOff>
    </xdr:from>
    <xdr:to>
      <xdr:col>8</xdr:col>
      <xdr:colOff>63873</xdr:colOff>
      <xdr:row>22</xdr:row>
      <xdr:rowOff>129148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B9E423-8904-4E9E-A0D1-174D2534E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5</xdr:row>
      <xdr:rowOff>0</xdr:rowOff>
    </xdr:from>
    <xdr:to>
      <xdr:col>18</xdr:col>
      <xdr:colOff>232196</xdr:colOff>
      <xdr:row>22</xdr:row>
      <xdr:rowOff>3279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003C792-8C8E-366E-7F82-B489B7756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0" y="784412"/>
          <a:ext cx="6328196" cy="267027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289671</xdr:colOff>
      <xdr:row>10</xdr:row>
      <xdr:rowOff>44823</xdr:rowOff>
    </xdr:from>
    <xdr:to>
      <xdr:col>8</xdr:col>
      <xdr:colOff>661147</xdr:colOff>
      <xdr:row>30</xdr:row>
      <xdr:rowOff>33617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99D6E6-162F-4E1D-8597-0E0FF47BE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22412</xdr:colOff>
      <xdr:row>10</xdr:row>
      <xdr:rowOff>0</xdr:rowOff>
    </xdr:from>
    <xdr:to>
      <xdr:col>17</xdr:col>
      <xdr:colOff>22412</xdr:colOff>
      <xdr:row>26</xdr:row>
      <xdr:rowOff>147358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50F142-8C18-4346-9D9C-208185516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3267075</xdr:colOff>
      <xdr:row>29</xdr:row>
      <xdr:rowOff>28575</xdr:rowOff>
    </xdr:from>
    <xdr:to>
      <xdr:col>5</xdr:col>
      <xdr:colOff>333375</xdr:colOff>
      <xdr:row>44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7636DC-D1BF-4469-6C4E-FE87F8537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</xdr:row>
      <xdr:rowOff>57150</xdr:rowOff>
    </xdr:from>
    <xdr:to>
      <xdr:col>9</xdr:col>
      <xdr:colOff>266700</xdr:colOff>
      <xdr:row>16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FC3758-396E-F8EB-020B-CFAE252A0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523874</xdr:colOff>
      <xdr:row>21</xdr:row>
      <xdr:rowOff>90487</xdr:rowOff>
    </xdr:from>
    <xdr:to>
      <xdr:col>9</xdr:col>
      <xdr:colOff>666749</xdr:colOff>
      <xdr:row>37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F936D664-78D3-4662-9C11-840631F844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7124" y="4205287"/>
              <a:ext cx="6105525" cy="28527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80962</xdr:rowOff>
    </xdr:from>
    <xdr:to>
      <xdr:col>11</xdr:col>
      <xdr:colOff>180975</xdr:colOff>
      <xdr:row>17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DDB1A6-F89C-4F0E-9AD6-CBB64CF67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ownloads/API_NY.GDP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ownloads/FAOSTAT_data_es_1-26-2025.xl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640.502247337965" createdVersion="1" refreshedVersion="4" recordCount="266" xr:uid="{4405A49B-C41D-4235-B364-C933E9264A92}">
  <cacheSource type="worksheet">
    <worksheetSource name="datos" r:id="rId2"/>
  </cacheSource>
  <cacheFields count="68">
    <cacheField name="Country Name" numFmtId="0">
      <sharedItems containsBlank="1" count="265">
        <s v="Aruba"/>
        <m/>
        <s v="Afganistán"/>
        <s v="Angola"/>
        <s v="Albania"/>
        <s v="Andorra"/>
        <s v="El mundo árabe"/>
        <s v="Emiratos Árabes Unidos"/>
        <s v="Argentina"/>
        <s v="Armenia"/>
        <s v="Samoa Americana"/>
        <s v="Antigua y Barbuda"/>
        <s v="Australia"/>
        <s v="Austria"/>
        <s v="Azerbaiyán"/>
        <s v="Burundi"/>
        <s v="Bélgica"/>
        <s v="Benin"/>
        <s v="Burkina Faso"/>
        <s v="Bangladesh"/>
        <s v="Bulgaria"/>
        <s v="Bahrein"/>
        <s v="Bahamas"/>
        <s v="Bosnia y Herzegovina"/>
        <s v="Belarús"/>
        <s v="Belice"/>
        <s v="Bermudas"/>
        <s v="Bolivia"/>
        <s v="Brasil"/>
        <s v="Barbados"/>
        <s v="Brunei Darussalam"/>
        <s v="Bhután"/>
        <s v="Botswana"/>
        <s v="República Centroafricana"/>
        <s v="Canadá"/>
        <s v="Europa Central y del Báltico"/>
        <s v="Suiza"/>
        <s v="Islas del Canal"/>
        <s v="Chile"/>
        <s v="China"/>
        <s v="Côte d'Ivoire"/>
        <s v="Camerún"/>
        <s v="Congo, República Democrática del"/>
        <s v="Congo, República del"/>
        <s v="Colombia"/>
        <s v="Comoras"/>
        <s v="Cabo Verde"/>
        <s v="Costa Rica"/>
        <s v="Estados pequeos del Caribe"/>
        <s v="Cuba"/>
        <s v="Curacao"/>
        <s v="Islas Caimán"/>
        <s v="Chipre"/>
        <s v="República Checa"/>
        <s v="Alemania"/>
        <s v="Djibouti"/>
        <s v="Dominica"/>
        <s v="Dinamarca"/>
        <s v="República Dominicana"/>
        <s v="Argelia"/>
        <s v="Asia oriental y el Pacífico (excluido altos ingresos)"/>
        <s v="inicial del dividendo demográfico"/>
        <s v="Asia oriental y el Pacífico"/>
        <s v="Europa y Asia central (excluido altos ingresos)"/>
        <s v="Europa y Asia central"/>
        <s v="Ecuador"/>
        <s v="Egipto, República Árabe de"/>
        <s v="Zona del Euro"/>
        <s v="Eritrea"/>
        <s v="España"/>
        <s v="Estonia"/>
        <s v="Etiopía"/>
        <s v="Unión Europea"/>
        <s v="Frágiles y situaciones de conflicto afectados"/>
        <s v="Finlandia"/>
        <s v="Fiji"/>
        <s v="Francia"/>
        <s v="Islas Feroe"/>
        <s v="Micronesia (Estados Federados de)"/>
        <s v="Gabón"/>
        <s v="Reino Unido"/>
        <s v="Georgia"/>
        <s v="Ghana"/>
        <s v="Gibraltar"/>
        <s v="Guinea"/>
        <s v="Gambia"/>
        <s v="Guinea-Bissau"/>
        <s v="Guinea Ecuatorial"/>
        <s v="Grecia"/>
        <s v="Granada"/>
        <s v="Groenlandia"/>
        <s v="Guatemala"/>
        <s v="Guam"/>
        <s v="Guyana"/>
        <s v="Ingreso alto"/>
        <s v="Hong Kong, Región Administrativa Especial"/>
        <s v="Honduras"/>
        <s v="Países pobres muy endeudados (PPME)"/>
        <s v="Croacia"/>
        <s v="Haití"/>
        <s v="Hungría"/>
        <s v="Sólo BIRF"/>
        <s v="BIRF y la AIF"/>
        <s v="total de la AIF"/>
        <s v="mezcla de la AIF"/>
        <s v="Indonesia"/>
        <s v="Sólo AIF"/>
        <s v="Isla de Man"/>
        <s v="India"/>
        <s v="No clasificado"/>
        <s v="Irlanda"/>
        <s v="Irán, República Islámica del"/>
        <s v="Iraq"/>
        <s v="Islandia"/>
        <s v="Israel"/>
        <s v="Italia"/>
        <s v="Jamaica"/>
        <s v="Jordania"/>
        <s v="Japón"/>
        <s v="Kazajstán"/>
        <s v="Kenya"/>
        <s v="Kirguistán"/>
        <s v="Camboya"/>
        <s v="Kiribati"/>
        <s v="Saint Kitts y Nevis"/>
        <s v="Corea, República de"/>
        <s v="Kuwait"/>
        <s v="América Latina y el Caribe (excluido altos ingresos)"/>
        <s v="República Democrática Popular Lao"/>
        <s v="Líbano"/>
        <s v="Liberia"/>
        <s v="Libia"/>
        <s v="Santa Lucía"/>
        <s v="América Latina y el Caribe"/>
        <s v="Países menos desarrollados: clasificación de las Naciones Unidas"/>
        <s v="Países de ingreso bajo"/>
        <s v="Liechtenstein"/>
        <s v="Sri Lanka"/>
        <s v="Países de ingreso mediano bajo"/>
        <s v="Ingreso mediano y bajo"/>
        <s v="Lesotho"/>
        <s v="avanzada del dividendo demográfico"/>
        <s v="Lituania"/>
        <s v="Luxemburgo"/>
        <s v="Letonia"/>
        <s v="Región Administrativa Especial de Macao, China"/>
        <s v="Isla de San Martín (parte francesa)"/>
        <s v="Marruecos"/>
        <s v="Mónaco"/>
        <s v="República de Moldova"/>
        <s v="Madagascar"/>
        <s v="Maldivas"/>
        <s v="Oriente Medio y Norte de África"/>
        <s v="México"/>
        <s v="Islas Marshall"/>
        <s v=" Ingreso mediano"/>
        <s v="Macedonia del Norte"/>
        <s v="Malí"/>
        <s v="Malta"/>
        <s v="Myanmar"/>
        <s v="Oriente Medio y Norte de África (excluido altos ingresos)"/>
        <s v="Montenegro"/>
        <s v="Mongolia"/>
        <s v="Mariana"/>
        <s v="Mozambique"/>
        <s v="Mauritania"/>
        <s v="Mauricio"/>
        <s v="Malawi"/>
        <s v="Malasia"/>
        <s v="América del Norte"/>
        <s v="Namibia"/>
        <s v="Nueva Caledonia"/>
        <s v="Níger"/>
        <s v="Nigeria"/>
        <s v="Nicaragua"/>
        <s v="Países Bajos"/>
        <s v="Noruega"/>
        <s v="Nepal"/>
        <s v="Nauru"/>
        <s v="Nueva Zelandia"/>
        <s v="Miembros OCDE"/>
        <s v="Omán"/>
        <s v="Otros Estados pequeos"/>
        <s v="Pakistán"/>
        <s v="Panamá"/>
        <s v="Perú"/>
        <s v="Filipinas"/>
        <s v="Palau"/>
        <s v="Papua Nueva Guinea"/>
        <s v="Polonia"/>
        <s v="previa al dividendo demográfico"/>
        <s v="Puerto Rico"/>
        <s v="Corea, República Popular Democrática de"/>
        <s v="Portugal"/>
        <s v="Paraguay"/>
        <s v="Ribera Occidental y Gaza"/>
        <s v="Estados pequeos de las Islas del Pacfico"/>
        <s v="posterior al dividendo demográfico"/>
        <s v="Polinesia Francesa"/>
        <s v="Qatar"/>
        <s v="Rumania"/>
        <s v="Federación de Rusia"/>
        <s v="Rwanda"/>
        <s v="Asia meridional"/>
        <s v="Arabia Saudita"/>
        <s v="Sudán"/>
        <s v="Senegal"/>
        <s v="Singapur"/>
        <s v="Islas Salomón"/>
        <s v="Sierra Leona"/>
        <s v="El Salvador"/>
        <s v="San Marino"/>
        <s v="Somalia"/>
        <s v="Serbia"/>
        <s v="África al sur del Sahara (excluido altos ingresos)"/>
        <s v="Sudán del Sur"/>
        <s v="África al sur del Sahara"/>
        <s v="Pequeños Estados"/>
        <s v="Santo Tomé y Príncipe"/>
        <s v="Suriname"/>
        <s v="República Eslovaca"/>
        <s v="Eslovenia"/>
        <s v="Suecia"/>
        <s v="Eswatini"/>
        <s v="Sint Maarten (Dutch part)"/>
        <s v="Seychelles"/>
        <s v="República Árabe Siria"/>
        <s v="Islas Turcas y Caicos"/>
        <s v="Chad"/>
        <s v="Asia oriental y el Pacífico (BIRF y la AIF)"/>
        <s v="Europa y Asia central (BIRF y la AIF)"/>
        <s v="Togo"/>
        <s v="Tailandia"/>
        <s v="Tayikistán"/>
        <s v="Turkmenistán"/>
        <s v="América Latina y el Caribe (BIRF y la AIF)"/>
        <s v="Timor-Leste"/>
        <s v="Oriente Medio y Norte de África (BIRF y la AIF)"/>
        <s v="Tonga"/>
        <s v="Asia meridional (BIRF y la AIF)"/>
        <s v="África al sur del Sahara (BIRF y la AIF)"/>
        <s v="Trinidad y Tobago"/>
        <s v="Túnez"/>
        <s v="Turquía"/>
        <s v="Tuvalu"/>
        <s v="Tanzanía"/>
        <s v="Uganda"/>
        <s v="Ucrania"/>
        <s v="Ingreso mediano alto"/>
        <s v="Uruguay"/>
        <s v="Estados Unidos"/>
        <s v="Uzbekistán"/>
        <s v="San Vicente y las Granadinas"/>
        <s v="Venezuela"/>
        <s v="Islas Vírgenes Británicas"/>
        <s v="Islas Vírgenes (EE.UU.)"/>
        <s v="Viet Nam"/>
        <s v="Vanuatu"/>
        <s v="Mundo"/>
        <s v="Samoa"/>
        <s v="Kosovo"/>
        <s v="Yemen, Rep. del"/>
        <s v="Sudáfrica"/>
        <s v="Zambia"/>
        <s v="Zimbabwe"/>
      </sharedItems>
    </cacheField>
    <cacheField name="Country Code" numFmtId="0">
      <sharedItems/>
    </cacheField>
    <cacheField name="Indicator Name" numFmtId="0">
      <sharedItems/>
    </cacheField>
    <cacheField name="Indicator Code" numFmtId="0">
      <sharedItems/>
    </cacheField>
    <cacheField name="1960" numFmtId="0">
      <sharedItems containsString="0" containsBlank="1" containsNumber="1" minValue="132183659.73123279" maxValue="11065150325078.67"/>
    </cacheField>
    <cacheField name="1961" numFmtId="0">
      <sharedItems containsString="0" containsBlank="1" containsNumber="1" minValue="125730088.15864548" maxValue="11504406672190.113"/>
    </cacheField>
    <cacheField name="1962" numFmtId="0">
      <sharedItems containsString="0" containsBlank="1" containsNumber="1" minValue="136302204.80446899" maxValue="12116326539171.988"/>
    </cacheField>
    <cacheField name="1963" numFmtId="0">
      <sharedItems containsString="0" containsBlank="1" containsNumber="1" minValue="150117255.10674074" maxValue="12724416382131.777"/>
    </cacheField>
    <cacheField name="1964" numFmtId="0">
      <sharedItems containsString="0" containsBlank="1" containsNumber="1" minValue="159003065.40970165" maxValue="13562090737377.215"/>
    </cacheField>
    <cacheField name="1965" numFmtId="0">
      <sharedItems containsString="0" containsBlank="1" containsNumber="1" minValue="157316724.85524958" maxValue="14320993882685.797"/>
    </cacheField>
    <cacheField name="1966" numFmtId="0">
      <sharedItems containsString="0" containsBlank="1" containsNumber="1" minValue="169145688.24913621" maxValue="15099822641855.943"/>
    </cacheField>
    <cacheField name="1967" numFmtId="0">
      <sharedItems containsString="0" containsBlank="1" containsNumber="1" minValue="153036568.41765326" maxValue="15663881536261.398"/>
    </cacheField>
    <cacheField name="1968" numFmtId="0">
      <sharedItems containsString="0" containsBlank="1" containsNumber="1" minValue="162998798.92437997" maxValue="16592072975061.564"/>
    </cacheField>
    <cacheField name="1969" numFmtId="0">
      <sharedItems containsString="0" containsBlank="1" containsNumber="1" minValue="167661941.86424294" maxValue="17584101722075.207"/>
    </cacheField>
    <cacheField name="1970" numFmtId="0">
      <sharedItems containsString="0" containsBlank="1" containsNumber="1" minValue="13790394.592345338" maxValue="18240991629750.152"/>
    </cacheField>
    <cacheField name="1971" numFmtId="0">
      <sharedItems containsString="0" containsBlank="1" containsNumber="1" minValue="13571996.113186341" maxValue="19026660149871.141"/>
    </cacheField>
    <cacheField name="1972" numFmtId="0">
      <sharedItems containsString="0" containsBlank="1" containsNumber="1" minValue="13307342.188979227" maxValue="20099274901104.348"/>
    </cacheField>
    <cacheField name="1973" numFmtId="0">
      <sharedItems containsString="0" containsBlank="1" containsNumber="1" minValue="13050443.948020954" maxValue="21387268547893.09"/>
    </cacheField>
    <cacheField name="1974" numFmtId="0">
      <sharedItems containsString="0" containsBlank="1" containsNumber="1" minValue="12831444.448129203" maxValue="21796684795581.941"/>
    </cacheField>
    <cacheField name="1975" numFmtId="0">
      <sharedItems containsString="0" containsBlank="1" containsNumber="1" minValue="12638138.737518119" maxValue="21911481867006.414"/>
    </cacheField>
    <cacheField name="1976" numFmtId="0">
      <sharedItems containsString="0" containsBlank="1" containsNumber="1" minValue="12531333.82704737" maxValue="23054003896256.512"/>
    </cacheField>
    <cacheField name="1977" numFmtId="0">
      <sharedItems containsString="0" containsBlank="1" containsNumber="1" minValue="12062473.971908404" maxValue="23980413102398.238"/>
    </cacheField>
    <cacheField name="1978" numFmtId="0">
      <sharedItems containsString="0" containsBlank="1" containsNumber="1" minValue="11841429.136373196" maxValue="24961023533235.016"/>
    </cacheField>
    <cacheField name="1979" numFmtId="0">
      <sharedItems containsString="0" containsBlank="1" containsNumber="1" minValue="11794442.345560053" maxValue="26004986260299.957"/>
    </cacheField>
    <cacheField name="1980" numFmtId="0">
      <sharedItems containsString="0" containsBlank="1" containsNumber="1" minValue="11719016.886760194" maxValue="26494285470627.16"/>
    </cacheField>
    <cacheField name="1981" numFmtId="0">
      <sharedItems containsString="0" containsBlank="1" containsNumber="1" minValue="12023746.48286665" maxValue="27004675633280.391"/>
    </cacheField>
    <cacheField name="1982" numFmtId="0">
      <sharedItems containsString="0" containsBlank="1" containsNumber="1" minValue="10098852.884678049" maxValue="27084754622366.984"/>
    </cacheField>
    <cacheField name="1983" numFmtId="0">
      <sharedItems containsString="0" containsBlank="1" containsNumber="1" minValue="11005083.547137456" maxValue="27785220247129.563"/>
    </cacheField>
    <cacheField name="1984" numFmtId="0">
      <sharedItems containsString="0" containsBlank="1" containsNumber="1" minValue="11826172.830589388" maxValue="29083990581629.781"/>
    </cacheField>
    <cacheField name="1985" numFmtId="0">
      <sharedItems containsString="0" containsBlank="1" containsNumber="1" minValue="11609150.732975252" maxValue="30160913843677.375"/>
    </cacheField>
    <cacheField name="1986" numFmtId="0">
      <sharedItems containsString="0" containsBlank="1" containsNumber="1" minValue="14231135.471771395" maxValue="31171713892672.313"/>
    </cacheField>
    <cacheField name="1987" numFmtId="0">
      <sharedItems containsString="0" containsBlank="1" containsNumber="1" minValue="15975431.515410936" maxValue="32332743811680.52"/>
    </cacheField>
    <cacheField name="1988" numFmtId="0">
      <sharedItems containsString="0" containsBlank="1" containsNumber="1" minValue="19059808.078091327" maxValue="33817374892961.648"/>
    </cacheField>
    <cacheField name="1989" numFmtId="0">
      <sharedItems containsString="0" containsBlank="1" containsNumber="1" minValue="18688561.136346281" maxValue="35074428995817.406"/>
    </cacheField>
    <cacheField name="1990" numFmtId="0">
      <sharedItems containsString="0" containsBlank="1" containsNumber="1" minValue="21562114.296670891" maxValue="36044076008699.156"/>
    </cacheField>
    <cacheField name="1991" numFmtId="0">
      <sharedItems containsString="0" containsBlank="1" containsNumber="1" minValue="22340330.530646104" maxValue="36496727027868.438"/>
    </cacheField>
    <cacheField name="1992" numFmtId="0">
      <sharedItems containsString="0" containsBlank="1" containsNumber="1" minValue="22963355.18472093" maxValue="37233689598548.82"/>
    </cacheField>
    <cacheField name="1993" numFmtId="0">
      <sharedItems containsString="0" containsBlank="1" containsNumber="1" minValue="23907338.247544881" maxValue="37908727457697.867"/>
    </cacheField>
    <cacheField name="1994" numFmtId="0">
      <sharedItems containsString="0" containsBlank="1" containsNumber="1" minValue="26365819.925987728" maxValue="39168791739111.453"/>
    </cacheField>
    <cacheField name="1995" numFmtId="0">
      <sharedItems containsString="0" containsBlank="1" containsNumber="1" minValue="25046355.115122695" maxValue="40376997999962.938"/>
    </cacheField>
    <cacheField name="1996" numFmtId="0">
      <sharedItems containsString="0" containsBlank="1" containsNumber="1" minValue="23553249.096321534" maxValue="41820349066965.867"/>
    </cacheField>
    <cacheField name="1997" numFmtId="0">
      <sharedItems containsString="0" containsBlank="1" containsNumber="1" minValue="25909351.918565243" maxValue="43463769120916.117"/>
    </cacheField>
    <cacheField name="1998" numFmtId="0">
      <sharedItems containsString="0" containsBlank="1" containsNumber="1" minValue="29925603.601644665" maxValue="44704192643432.742"/>
    </cacheField>
    <cacheField name="1999" numFmtId="0">
      <sharedItems containsString="0" containsBlank="1" containsNumber="1" minValue="29457605.818015218" maxValue="46291065127200.094"/>
    </cacheField>
    <cacheField name="2000" numFmtId="0">
      <sharedItems containsString="0" containsBlank="1" containsNumber="1" minValue="29171722.93326918" maxValue="48388557167110.922"/>
    </cacheField>
    <cacheField name="2001" numFmtId="0">
      <sharedItems containsString="0" containsBlank="1" containsNumber="1" minValue="29171722.93326918" maxValue="49368620392265.25"/>
    </cacheField>
    <cacheField name="2002" numFmtId="0">
      <sharedItems containsString="0" containsBlank="1" containsNumber="1" minValue="31949982.260247201" maxValue="50505499243552.281"/>
    </cacheField>
    <cacheField name="2003" numFmtId="0">
      <sharedItems containsString="0" containsBlank="1" containsNumber="1" minValue="30560852.596758194" maxValue="52073329170330.5"/>
    </cacheField>
    <cacheField name="2004" numFmtId="0">
      <sharedItems containsString="0" containsBlank="1" containsNumber="1" minValue="29866287.765013691" maxValue="54400621045246.602"/>
    </cacheField>
    <cacheField name="2005" numFmtId="0">
      <sharedItems containsString="0" containsBlank="1" containsNumber="1" minValue="28477158.101524685" maxValue="56579836978678.852"/>
    </cacheField>
    <cacheField name="2006" numFmtId="0">
      <sharedItems containsString="0" containsBlank="1" containsNumber="1" minValue="29171722.933269192" maxValue="59093561843411.609"/>
    </cacheField>
    <cacheField name="2007" numFmtId="0">
      <sharedItems containsString="0" containsBlank="1" containsNumber="1" minValue="28755380.692464389" maxValue="61677886808801.617"/>
    </cacheField>
    <cacheField name="2008" numFmtId="0">
      <sharedItems containsString="0" containsBlank="1" containsNumber="1" minValue="33339111.923736218" maxValue="62949990715747.688"/>
    </cacheField>
    <cacheField name="2009" numFmtId="0">
      <sharedItems containsString="0" containsBlank="1" containsNumber="1" minValue="31255417.428502705" maxValue="62096526015584.391"/>
    </cacheField>
    <cacheField name="2010" numFmtId="0">
      <sharedItems containsString="0" containsBlank="1" containsNumber="1" minValue="30560852.596758198" maxValue="64909216709023.813"/>
    </cacheField>
    <cacheField name="2011" numFmtId="0">
      <sharedItems containsString="0" containsBlank="1" containsNumber="1" minValue="32644547.091991711" maxValue="67068832481271.461"/>
    </cacheField>
    <cacheField name="2012" numFmtId="0">
      <sharedItems containsString="0" containsBlank="1" containsNumber="1" minValue="31949982.260247204" maxValue="68885804388550.398"/>
    </cacheField>
    <cacheField name="2013" numFmtId="0">
      <sharedItems containsString="0" containsBlank="1" containsNumber="1" minValue="33339111.923736211" maxValue="70861602283288.797"/>
    </cacheField>
    <cacheField name="2014" numFmtId="0">
      <sharedItems containsString="0" containsBlank="1" containsNumber="1" minValue="33339111.923736211" maxValue="73075226555102.313"/>
    </cacheField>
    <cacheField name="2015" numFmtId="0">
      <sharedItems containsString="0" containsBlank="1" containsNumber="1" minValue="36811936.082458735" maxValue="75359657218242.5"/>
    </cacheField>
    <cacheField name="2016" numFmtId="0">
      <sharedItems containsString="0" containsBlank="1" containsNumber="1" minValue="38895630.577692248" maxValue="77485219519915.828"/>
    </cacheField>
    <cacheField name="2017" numFmtId="0">
      <sharedItems containsString="0" containsBlank="1" containsNumber="1" minValue="39847948.418497145" maxValue="80166393396326.797"/>
    </cacheField>
    <cacheField name="2018" numFmtId="0">
      <sharedItems containsString="0" containsBlank="1" containsNumber="1" minValue="40400752.568082601" maxValue="82801152494085.719"/>
    </cacheField>
    <cacheField name="2019" numFmtId="0">
      <sharedItems containsString="0" containsBlank="1" containsNumber="1" minValue="45984984.358825244" maxValue="84988938153813.891"/>
    </cacheField>
    <cacheField name="2020" numFmtId="0">
      <sharedItems containsString="0" containsBlank="1" containsNumber="1" minValue="44019157.515538767" maxValue="82497025649488.25"/>
    </cacheField>
    <cacheField name="2021" numFmtId="0">
      <sharedItems containsString="0" containsBlank="1" containsNumber="1" minValue="44813322.944155425" maxValue="87661216769258.719"/>
    </cacheField>
    <cacheField name="2022" numFmtId="0">
      <sharedItems containsString="0" containsBlank="1" containsNumber="1" minValue="45116847.77562777" maxValue="90369604265987.188"/>
    </cacheField>
    <cacheField name="2023" numFmtId="0">
      <sharedItems containsString="0" containsBlank="1" containsNumber="1" minValue="46855113.835298158" maxValue="92827055067884.3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683.685477430554" createdVersion="1" refreshedVersion="4" recordCount="15" xr:uid="{E3885EF1-4086-4C7B-8068-7C2533473130}">
  <cacheSource type="worksheet">
    <worksheetSource ref="A1:O16" sheet="Sheet1" r:id="rId2"/>
  </cacheSource>
  <cacheFields count="15">
    <cacheField name="Código del ámbito" numFmtId="0">
      <sharedItems/>
    </cacheField>
    <cacheField name="Ámbito" numFmtId="0">
      <sharedItems/>
    </cacheField>
    <cacheField name="Código del área (M49)" numFmtId="0">
      <sharedItems/>
    </cacheField>
    <cacheField name="Área" numFmtId="0">
      <sharedItems count="5">
        <s v="Argentina"/>
        <s v="Bolivia (Estado Plurinacional de)"/>
        <s v="Brasil"/>
        <s v="Paraguay"/>
        <s v="Perú"/>
      </sharedItems>
    </cacheField>
    <cacheField name="Código del elemento" numFmtId="0">
      <sharedItems/>
    </cacheField>
    <cacheField name="Elemento" numFmtId="0">
      <sharedItems/>
    </cacheField>
    <cacheField name="Código del producto (CPC)" numFmtId="0">
      <sharedItems/>
    </cacheField>
    <cacheField name="Producto" numFmtId="0">
      <sharedItems/>
    </cacheField>
    <cacheField name="Código del año" numFmtId="0">
      <sharedItems/>
    </cacheField>
    <cacheField name="Año" numFmtId="0">
      <sharedItems count="3">
        <s v="2014"/>
        <s v="2018"/>
        <s v="2023"/>
      </sharedItems>
    </cacheField>
    <cacheField name="Unidad" numFmtId="0">
      <sharedItems/>
    </cacheField>
    <cacheField name="Valor" numFmtId="0">
      <sharedItems containsSemiMixedTypes="0" containsString="0" containsNumber="1" containsInteger="1" minValue="1407" maxValue="2500"/>
    </cacheField>
    <cacheField name="Símbolo" numFmtId="0">
      <sharedItems/>
    </cacheField>
    <cacheField name="Descripción del Símbolo" numFmtId="0">
      <sharedItems/>
    </cacheField>
    <cacheField name="No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x v="0"/>
    <s v="ABW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n v="1040067814.0179185"/>
    <n v="1207294403.7227569"/>
    <n v="1432438495.2278144"/>
    <n v="1606191000.6284528"/>
    <n v="1669818678.6624887"/>
    <n v="1802784198.4091408"/>
    <n v="1908830345.9758677"/>
    <n v="2048321812.2332513"/>
    <n v="2216364111.8743324"/>
    <n v="2272818090.4319134"/>
    <n v="2299768906.2320614"/>
    <n v="2461830746.1686006"/>
    <n v="2510870031.7945056"/>
    <n v="2541955653.3881578"/>
    <n v="2735726915.7863889"/>
    <n v="2850135060.0099988"/>
    <n v="2823202609.542747"/>
    <n v="2854554404.3733091"/>
    <n v="3062757840.265965"/>
    <n v="3051023261.1758194"/>
    <n v="3085420847.1951685"/>
    <n v="3180746293.7287059"/>
    <n v="3239137008.3212833"/>
    <n v="2860878965.889483"/>
    <n v="2782678075.4709902"/>
    <n v="2876433099.9067602"/>
    <n v="2846495187.5290413"/>
    <n v="3029567030.3440266"/>
    <n v="2981500673.0463219"/>
    <n v="2962907262.5698323"/>
    <n v="3013858155.9880891"/>
    <n v="3226290954.3206482"/>
    <n v="3303132499.8795943"/>
    <n v="3227066765.5454311"/>
    <n v="2453132865.8745017"/>
    <n v="3131163015.5937395"/>
    <n v="3458629980.6177616"/>
    <m/>
  </r>
  <r>
    <x v="1"/>
    <s v="AFE"/>
    <s v="PIB (US$ a precios constantes de 2015)"/>
    <s v="NY.GDP.MKTP.KD"/>
    <n v="152801140038.93155"/>
    <n v="153504187313.19949"/>
    <n v="165581915974.47549"/>
    <n v="174881658801.56955"/>
    <n v="183045371237.94861"/>
    <n v="192452053673.2012"/>
    <n v="201747190710.54102"/>
    <n v="212590055028.18881"/>
    <n v="221412594349.14569"/>
    <n v="232658555606.83444"/>
    <n v="235304524459.99036"/>
    <n v="248184884283.10275"/>
    <n v="255108125507.76816"/>
    <n v="266785769928.14053"/>
    <n v="281375115992.13904"/>
    <n v="285385197910.64209"/>
    <n v="292163864305.81995"/>
    <n v="295499007536.22577"/>
    <n v="299981109337.04315"/>
    <n v="308729030057.11133"/>
    <n v="325577473210.76404"/>
    <n v="338655869394.14905"/>
    <n v="339738164722.8031"/>
    <n v="339815076373.50629"/>
    <n v="351255275156.23517"/>
    <n v="350849435200.73303"/>
    <n v="358781204559.38239"/>
    <n v="373005144081.56573"/>
    <n v="388940870426.43134"/>
    <n v="399433875504.91602"/>
    <n v="400160968578.46985"/>
    <n v="399789983815.41553"/>
    <n v="390374495346.73517"/>
    <n v="388065113583.22443"/>
    <n v="395434537181.72925"/>
    <n v="412371762037.55658"/>
    <n v="434865700351.8006"/>
    <n v="451559227208.53583"/>
    <n v="459499329803.33691"/>
    <n v="471703443866.97705"/>
    <n v="486891365477.53003"/>
    <n v="503981966864.1734"/>
    <n v="523343171759.26257"/>
    <n v="538851950295.12701"/>
    <n v="568797912050.61865"/>
    <n v="603863369699.99805"/>
    <n v="643583051679.50012"/>
    <n v="686359400901.09583"/>
    <n v="716360840011.3197"/>
    <n v="722667189121.8031"/>
    <n v="760489985276.37024"/>
    <n v="791434473135.70947"/>
    <n v="805333726107.16394"/>
    <n v="839563188665.82178"/>
    <n v="873004516663.32739"/>
    <n v="899295676086.83557"/>
    <n v="918932523633.94165"/>
    <n v="943297098194.97131"/>
    <n v="968593667253.30066"/>
    <n v="989798694036.44983"/>
    <n v="962278543441.16333"/>
    <n v="1005555866031.1605"/>
    <n v="1041297568267.8573"/>
    <n v="1068603622768.4464"/>
  </r>
  <r>
    <x v="2"/>
    <s v="AFG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06547590.3395853"/>
    <n v="5621147631.1246815"/>
    <n v="7228795918.9252453"/>
    <n v="7867263256.2881699"/>
    <n v="7978515641.5830374"/>
    <n v="8874480195.5832119"/>
    <n v="9349921885.778883"/>
    <n v="10642671963.113541"/>
    <n v="11060395115.680857"/>
    <n v="13426272073.239759"/>
    <n v="15354612541.505938"/>
    <n v="15420077665.532303"/>
    <n v="17386490239.353626"/>
    <n v="18360263162.757835"/>
    <n v="18860496494.040409"/>
    <n v="19134221644.732494"/>
    <n v="19566715174.163273"/>
    <n v="20084646751.495384"/>
    <n v="20323499020.363865"/>
    <n v="21118473702.347073"/>
    <n v="20621957125.207726"/>
    <n v="16345202562.548473"/>
    <n v="15325233810.138836"/>
    <m/>
  </r>
  <r>
    <x v="1"/>
    <s v="AFW"/>
    <s v="PIB (US$ a precios constantes de 2015)"/>
    <s v="NY.GDP.MKTP.KD"/>
    <n v="107775767046.39021"/>
    <n v="109794897646.74176"/>
    <n v="113865700843.86235"/>
    <n v="122002298396.08546"/>
    <n v="128598234846.50995"/>
    <n v="133873966223.35449"/>
    <n v="131815532877.22444"/>
    <n v="119818390673.89037"/>
    <n v="121692329015.0065"/>
    <n v="140270491058.23273"/>
    <n v="164910983590.09894"/>
    <n v="182362880595.93188"/>
    <n v="188153726685.46155"/>
    <n v="195726322620.58484"/>
    <n v="215406613351.30557"/>
    <n v="210758715900.53583"/>
    <n v="228614000719.33566"/>
    <n v="239099946941.35068"/>
    <n v="234435993902.98386"/>
    <n v="246387630536.1312"/>
    <n v="251114765337.68881"/>
    <n v="234051528795.48849"/>
    <n v="226331046417.68546"/>
    <n v="211928161774.58722"/>
    <n v="213005214822.1373"/>
    <n v="224506056584.44534"/>
    <n v="227559592729.45993"/>
    <n v="230755854911.48062"/>
    <n v="241659930590.62338"/>
    <n v="245805005749.98212"/>
    <n v="259997363696.63699"/>
    <n v="262621685108.11511"/>
    <n v="269144321721.00873"/>
    <n v="265598051622.19916"/>
    <n v="264738892774.50241"/>
    <n v="269819530486.91296"/>
    <n v="282365622652.94391"/>
    <n v="294922498563.6236"/>
    <n v="305567171214.07037"/>
    <n v="310288257790.31244"/>
    <n v="322264640666.10309"/>
    <n v="339051709225.4635"/>
    <n v="372710820654.8631"/>
    <n v="393332785744.04901"/>
    <n v="424770689819.1156"/>
    <n v="449530318603.84039"/>
    <n v="473691501361.89087"/>
    <n v="499852150618.07532"/>
    <n v="531250190048.01575"/>
    <n v="564623870976.00854"/>
    <n v="603981546019.44421"/>
    <n v="633270356760.29297"/>
    <n v="665791526686.49402"/>
    <n v="706448820513.05505"/>
    <n v="748310030450.22119"/>
    <n v="769367317617.82104"/>
    <n v="770455884800.53088"/>
    <n v="788060504144.21777"/>
    <n v="810462266683.78333"/>
    <n v="836575592045.29773"/>
    <n v="828172881287.31445"/>
    <n v="861257182052.71936"/>
    <n v="893851336757.18359"/>
    <n v="923730781089.01709"/>
  </r>
  <r>
    <x v="3"/>
    <s v="AGO"/>
    <s v="PIB (US$ a precios constantes de 2015)"/>
    <s v="NY.GDP.MKTP.KD"/>
    <m/>
    <m/>
    <m/>
    <m/>
    <m/>
    <m/>
    <m/>
    <m/>
    <m/>
    <m/>
    <m/>
    <m/>
    <m/>
    <m/>
    <m/>
    <m/>
    <m/>
    <m/>
    <m/>
    <m/>
    <n v="23063262074.128651"/>
    <n v="22048478261.806442"/>
    <n v="22048478261.806442"/>
    <n v="22974514663.773083"/>
    <n v="24352986041.018524"/>
    <n v="25205340428.274944"/>
    <n v="25936295739.890057"/>
    <n v="26995209500.207779"/>
    <n v="28649716324.68792"/>
    <n v="28661640755.43454"/>
    <n v="27672785864.631145"/>
    <n v="27947122601.435089"/>
    <n v="26315491127.13089"/>
    <n v="20004137038.183407"/>
    <n v="20272065135.456169"/>
    <n v="23312874911.625793"/>
    <n v="26470456890.200928"/>
    <n v="28395991341.424957"/>
    <n v="29728088881.446171"/>
    <n v="30376604083.873093"/>
    <n v="31304495193.778828"/>
    <n v="32621161809.653332"/>
    <n v="37079068252.735832"/>
    <n v="38187732393.492638"/>
    <n v="42369289092.850906"/>
    <n v="48737393239.503059"/>
    <n v="54366562157.63195"/>
    <n v="61983317520.594925"/>
    <n v="68906854084.059418"/>
    <n v="69499453030.665741"/>
    <n v="72556300249.882965"/>
    <n v="75075493556.767593"/>
    <n v="81488522604.103104"/>
    <n v="85525963563.919189"/>
    <n v="89650503847.704132"/>
    <n v="90496420506.595657"/>
    <n v="88161512205.702744"/>
    <n v="88031782694.378662"/>
    <n v="86872966032.873459"/>
    <n v="86262880684.945633"/>
    <n v="81399194250.730057"/>
    <n v="82375341952.561584"/>
    <n v="84884003095.511398"/>
    <n v="85610610955.543457"/>
  </r>
  <r>
    <x v="4"/>
    <s v="ALB"/>
    <s v="PIB (US$ a precios constantes de 2015)"/>
    <s v="NY.GDP.MKTP.KD"/>
    <m/>
    <m/>
    <m/>
    <m/>
    <m/>
    <m/>
    <m/>
    <m/>
    <m/>
    <m/>
    <m/>
    <m/>
    <m/>
    <m/>
    <m/>
    <m/>
    <m/>
    <m/>
    <m/>
    <m/>
    <n v="4650626378.894803"/>
    <n v="4917834409.432723"/>
    <n v="5062841517.5170517"/>
    <n v="5118782790.58601"/>
    <n v="5054716276.9624119"/>
    <n v="5144722777.0053205"/>
    <n v="5434743310.8058758"/>
    <n v="5391926084.8175411"/>
    <n v="5315358596.2090454"/>
    <n v="5838206447.5557709"/>
    <n v="5279160805.7599344"/>
    <n v="3800882718.6877646"/>
    <n v="3527709061.9465933"/>
    <n v="3864937294.2247038"/>
    <n v="4185837881.8217549"/>
    <n v="4743489156.7433653"/>
    <n v="5175146643.2757235"/>
    <n v="4610021453.8096638"/>
    <n v="5017059783.319582"/>
    <n v="5663799108.527668"/>
    <n v="6057218861.9668303"/>
    <n v="6559562958.9463739"/>
    <n v="6857139117.3927879"/>
    <n v="7236245479.6585045"/>
    <n v="7635300387.0849104"/>
    <n v="8057259479.0045929"/>
    <n v="8532852033.689517"/>
    <n v="9043394715.1995163"/>
    <n v="9721653065.5361347"/>
    <n v="10047745438.945171"/>
    <n v="10420209148.092852"/>
    <n v="10685445792.018269"/>
    <n v="10836884503.1437"/>
    <n v="10945471986.7318"/>
    <n v="11139693788.812449"/>
    <n v="11386853113.0189"/>
    <n v="11764325094.212866"/>
    <n v="12211675169.684458"/>
    <n v="12702504600.374044"/>
    <n v="12967696312.771515"/>
    <n v="12539492342.003998"/>
    <n v="13656576505.566504"/>
    <n v="14319794712.62677"/>
    <n v="14812273860.771984"/>
  </r>
  <r>
    <x v="5"/>
    <s v="AND"/>
    <s v="PIB (US$ a precios constantes de 2015)"/>
    <s v="NY.GDP.MKTP.KD"/>
    <m/>
    <m/>
    <m/>
    <m/>
    <m/>
    <m/>
    <m/>
    <m/>
    <m/>
    <m/>
    <n v="859121720.82567072"/>
    <n v="899066287.64547563"/>
    <n v="972337883.87395537"/>
    <n v="1048068101.0649557"/>
    <n v="1106956843.8797557"/>
    <n v="1112958826.533417"/>
    <n v="1149728616.0719297"/>
    <n v="1182364531.6687546"/>
    <n v="1199662526.8824801"/>
    <n v="1200161072.980623"/>
    <n v="1226669361.9793196"/>
    <n v="1225044337.7422774"/>
    <n v="1240314039.0014861"/>
    <n v="1262269064.9920809"/>
    <n v="1284796612.9864652"/>
    <n v="1314622305.975868"/>
    <n v="1357391199.732161"/>
    <n v="1432687347.9170098"/>
    <n v="1505673114.890976"/>
    <n v="1578352471.8456328"/>
    <n v="1638036096.2748032"/>
    <n v="1679740553.0063977"/>
    <n v="1695348938.0626225"/>
    <n v="1677861678.4104936"/>
    <n v="1717848180.079921"/>
    <n v="1765217871.3590252"/>
    <n v="1847295889.2900572"/>
    <n v="2014802622.3506365"/>
    <n v="2079171403.4093168"/>
    <n v="2164398280.1541309"/>
    <n v="2240766094.4180665"/>
    <n v="2422701909.3304238"/>
    <n v="2532846713.4855151"/>
    <n v="2753057566.5731144"/>
    <n v="2977037419.5986047"/>
    <n v="3137731825.9057717"/>
    <n v="3288615581.6283383"/>
    <n v="3339693968.8463278"/>
    <n v="3154034156.980412"/>
    <n v="2986780565.706706"/>
    <n v="2927792903.992187"/>
    <n v="2927556638.3244386"/>
    <n v="2781926981.0227532"/>
    <n v="2683235436.3804183"/>
    <n v="2750436142.7357154"/>
    <n v="2789881258.5036159"/>
    <n v="2893376871.7235017"/>
    <n v="2903390035.7376013"/>
    <n v="2949518094.6789575"/>
    <n v="3008967036.9828906"/>
    <n v="2672445970.8865747"/>
    <n v="2893916907.5354991"/>
    <n v="3170685261.1836338"/>
    <n v="3216475797.7424917"/>
  </r>
  <r>
    <x v="6"/>
    <s v="ARB"/>
    <s v="PIB (US$ a precios constantes de 2015)"/>
    <s v="NY.GDP.MKTP.KD"/>
    <m/>
    <m/>
    <m/>
    <m/>
    <m/>
    <m/>
    <n v="253611093191.75775"/>
    <n v="270707973264.60071"/>
    <n v="300031659754.60944"/>
    <n v="322444802417.05072"/>
    <n v="394415895538.57874"/>
    <n v="430381237352.42065"/>
    <n v="496993124582.54083"/>
    <n v="566804164719.43652"/>
    <n v="627210925805.13379"/>
    <n v="616672962653.83081"/>
    <n v="711599635222.84277"/>
    <n v="762265025261.34949"/>
    <n v="766873033496.203"/>
    <n v="851430679126.84717"/>
    <n v="904562698151.62366"/>
    <n v="908437368115.48254"/>
    <n v="837908903516.22852"/>
    <n v="793240490991.71692"/>
    <n v="803403929982.57922"/>
    <n v="792962458319.02649"/>
    <n v="819777055072.07837"/>
    <n v="813428401989.8822"/>
    <n v="854586197847.78564"/>
    <n v="884906006876.72107"/>
    <n v="969119364043.7605"/>
    <n v="982837289393.0155"/>
    <n v="1044646894788.2305"/>
    <n v="1071749337330.9418"/>
    <n v="1105713273812.2642"/>
    <n v="1135754341770.4956"/>
    <n v="1187893836007"/>
    <n v="1246619788348.6279"/>
    <n v="1307052452138.2847"/>
    <n v="1331348413330.1025"/>
    <n v="1419192122718.1587"/>
    <n v="1443014243731.9343"/>
    <n v="1452633272201.9978"/>
    <n v="1523391104256.2629"/>
    <n v="1658559781083.1614"/>
    <n v="1749225933124.9053"/>
    <n v="1857079402359.1211"/>
    <n v="1940555004994.2571"/>
    <n v="2048270460398.7585"/>
    <n v="2056652027545.9502"/>
    <n v="2155670984617.9766"/>
    <n v="2232690455534.2974"/>
    <n v="2344404910568.3428"/>
    <n v="2403484093830.062"/>
    <n v="2460776074977.272"/>
    <n v="2544136348540.1826"/>
    <n v="2635965590221.7817"/>
    <n v="2675802513982.0493"/>
    <n v="2745993015911.7183"/>
    <n v="2791881604204.5088"/>
    <n v="2641092659011.1426"/>
    <n v="2776228048075.3701"/>
    <n v="2937057964572.9849"/>
    <n v="2964366493989.1392"/>
  </r>
  <r>
    <x v="7"/>
    <s v="ARE"/>
    <s v="PIB (US$ a precios constantes de 2015)"/>
    <s v="NY.GDP.MKTP.KD"/>
    <m/>
    <m/>
    <m/>
    <m/>
    <m/>
    <m/>
    <m/>
    <m/>
    <m/>
    <m/>
    <n v="14070592924.331505"/>
    <n v="19222171572.096134"/>
    <n v="26734126558.99855"/>
    <n v="47217855776.346748"/>
    <n v="54063519992.562363"/>
    <n v="57430272387.414581"/>
    <n v="66921691095.895813"/>
    <n v="81269253405.425842"/>
    <n v="79977394655.222031"/>
    <n v="96711523271.000534"/>
    <n v="119801181764.46567"/>
    <n v="125382930480.48996"/>
    <n v="116958054938.59969"/>
    <n v="111407435357.04619"/>
    <n v="115882617757.18398"/>
    <n v="111717244274.19031"/>
    <n v="95006426309.524338"/>
    <n v="98219526269.695221"/>
    <n v="95647247529.550308"/>
    <n v="107448100944.22025"/>
    <n v="127141173341.44849"/>
    <n v="128234691621.35905"/>
    <n v="132524071345.55385"/>
    <n v="134195452934.19241"/>
    <n v="143449770720.49298"/>
    <n v="153043528513.01736"/>
    <n v="161917610697.96289"/>
    <n v="175179308497.33524"/>
    <n v="175690822166.66711"/>
    <n v="180789745171.17123"/>
    <n v="200410321466.33405"/>
    <n v="203214232286.70691"/>
    <n v="208159362862.99814"/>
    <n v="226478512548.98877"/>
    <n v="248144435949.92654"/>
    <n v="260192198684.1557"/>
    <n v="285788137283.3313"/>
    <n v="294888746643.28473"/>
    <n v="304301112624.57837"/>
    <n v="288346842937.12427"/>
    <n v="292968610443.83899"/>
    <n v="311179896153.5564"/>
    <n v="316857313565.96783"/>
    <n v="332876224084.28394"/>
    <n v="346742821790.42413"/>
    <n v="370275469571.13684"/>
    <n v="390868305597.13916"/>
    <n v="393741456224.29584"/>
    <n v="398914879874.98804"/>
    <n v="403336245504.45685"/>
    <n v="383342656333.3736"/>
    <n v="400036290964.17523"/>
    <n v="431440812447.75525"/>
    <n v="446126441632.29236"/>
  </r>
  <r>
    <x v="8"/>
    <s v="ARG"/>
    <s v="PIB (US$ a precios constantes de 2015)"/>
    <s v="NY.GDP.MKTP.KD"/>
    <n v="150797810295.88416"/>
    <n v="158982878499.52405"/>
    <n v="157628310158.56668"/>
    <n v="149261089202.81174"/>
    <n v="164381681831.91791"/>
    <n v="181755894112.43298"/>
    <n v="180556802912.31104"/>
    <n v="186320169964.57614"/>
    <n v="195305461613.1561"/>
    <n v="214210104570.48184"/>
    <n v="220734180309.32224"/>
    <n v="233223609573.66916"/>
    <n v="237021461356.44754"/>
    <n v="243685921868.22629"/>
    <n v="257171024124.45163"/>
    <n v="257097956426.36252"/>
    <n v="251909073021.03839"/>
    <n v="269376820356.43082"/>
    <n v="257238364643.47409"/>
    <n v="283535234199.29901"/>
    <n v="287841521828.6344"/>
    <n v="272903153784.45828"/>
    <n v="270895516738.16028"/>
    <n v="282677015450.45673"/>
    <n v="287117132733.28741"/>
    <n v="272218554792.86124"/>
    <n v="288969188904.05359"/>
    <n v="296785426416.39294"/>
    <n v="293550663101.6488"/>
    <n v="272541389928.66974"/>
    <n v="265817211205.31146"/>
    <n v="290094591011.84412"/>
    <n v="313120244489.88959"/>
    <n v="338817957426.03479"/>
    <n v="358592053441.5451"/>
    <n v="348389357874.28314"/>
    <n v="367643757074.80249"/>
    <n v="397463514160.86639"/>
    <n v="412766570325.76428"/>
    <n v="398792535409.2926"/>
    <n v="395646066535.87512"/>
    <n v="378202665751.8526"/>
    <n v="336999433710.19299"/>
    <n v="366780211148.67407"/>
    <n v="399898899166.7381"/>
    <n v="435296589745.33881"/>
    <n v="470325565798.35266"/>
    <n v="512690850741.56049"/>
    <n v="533491913656.27863"/>
    <n v="501917060966.23511"/>
    <n v="552738161802.46277"/>
    <n v="585924294024.78528"/>
    <n v="579910247223.42798"/>
    <n v="593858966307.15649"/>
    <n v="578937574935.69556"/>
    <n v="594749285413.2124"/>
    <n v="582376550428.08997"/>
    <n v="598790850843.67688"/>
    <n v="583118120294.00244"/>
    <n v="571450737224.44202"/>
    <n v="514874343768.06573"/>
    <n v="570058627079.24866"/>
    <n v="598312841626.66248"/>
    <n v="589035991825.94385"/>
  </r>
  <r>
    <x v="9"/>
    <s v="ARM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39777093.951232"/>
    <n v="5156523262.605176"/>
    <n v="3001096397.2506552"/>
    <n v="2736999950.5070229"/>
    <n v="2884798023.9004631"/>
    <n v="3083849041.9621873"/>
    <n v="3264729146.7809014"/>
    <n v="3373153403.7499542"/>
    <n v="3619393601.8091397"/>
    <n v="3738833590.6898937"/>
    <n v="3959424772.6572833"/>
    <n v="4339529550.8037148"/>
    <n v="4912347451.4202185"/>
    <n v="5600076094.6951981"/>
    <n v="6188084084.5721235"/>
    <n v="7048227772.2727766"/>
    <n v="7978593838.1751566"/>
    <n v="9071661194.1285572"/>
    <n v="9697605816.5623989"/>
    <n v="8330243396.3592377"/>
    <n v="8513508751.0970592"/>
    <n v="8913643662.2857418"/>
    <n v="9555426006.0563183"/>
    <n v="9870755064.256176"/>
    <n v="10226102246.627628"/>
    <n v="10553337518.414"/>
    <n v="10574444193.432463"/>
    <n v="11367527508.11347"/>
    <n v="11958638938.495953"/>
    <n v="12867495497.64695"/>
    <n v="11941035821.918497"/>
    <n v="12633615899.668158"/>
    <n v="14225451502.998127"/>
    <n v="15463065783.758963"/>
  </r>
  <r>
    <x v="10"/>
    <s v="ASM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4923664.12213755"/>
    <n v="752116030.53435135"/>
    <n v="755198473.28244293"/>
    <n v="752116030.53435123"/>
    <n v="721291603.05343521"/>
    <n v="734648854.96183217"/>
    <n v="715126717.55725205"/>
    <n v="685329770.99236655"/>
    <n v="687384732.8244276"/>
    <n v="687384732.8244276"/>
    <n v="657587786.25954211"/>
    <n v="641148091.60305357"/>
    <n v="652450381.67938936"/>
    <n v="673000000"/>
    <n v="661697709.92366409"/>
    <n v="615461068.70229006"/>
    <n v="631900763.3587786"/>
    <n v="628818320.61068702"/>
    <n v="656560305.34351146"/>
    <n v="651422900.76335883"/>
    <n v="662725190.83969462"/>
    <m/>
  </r>
  <r>
    <x v="11"/>
    <s v="ATG"/>
    <s v="PIB (US$ a precios constantes de 2015)"/>
    <s v="NY.GDP.MKTP.KD"/>
    <m/>
    <m/>
    <m/>
    <m/>
    <m/>
    <m/>
    <m/>
    <m/>
    <m/>
    <m/>
    <m/>
    <m/>
    <m/>
    <m/>
    <m/>
    <m/>
    <m/>
    <n v="387095908.99355727"/>
    <n v="404064146.19439888"/>
    <n v="436713652.37916839"/>
    <n v="472353897.2043792"/>
    <n v="490375108.40087736"/>
    <n v="489961962.35397041"/>
    <n v="516242438.32890022"/>
    <n v="568719298.60549557"/>
    <n v="612191037.52340245"/>
    <n v="682557487.24703884"/>
    <n v="727784182.82437336"/>
    <n v="765727808.26508307"/>
    <n v="805945565.04363453"/>
    <n v="830215153.17963684"/>
    <n v="848287550.61203504"/>
    <n v="858115307.9048301"/>
    <n v="903426095.15542901"/>
    <n v="963738105.68442762"/>
    <n v="921725174.48966992"/>
    <n v="982603889.77327538"/>
    <n v="1036364062.1070772"/>
    <n v="1085396819.9395456"/>
    <n v="1125640169.8360469"/>
    <n v="1195469164.0827336"/>
    <n v="1141098413.0778394"/>
    <n v="1152820061.0989335"/>
    <n v="1222875737.2474627"/>
    <n v="1293395745.6787989"/>
    <n v="1377129115.291743"/>
    <n v="1552134855.833756"/>
    <n v="1696721347.6123555"/>
    <n v="1696483697.2313912"/>
    <n v="1493533928.0476995"/>
    <n v="1376434444.9473863"/>
    <n v="1349473923.2669282"/>
    <n v="1394989455.4611268"/>
    <n v="1386609537.4123595"/>
    <n v="1417273748.8761513"/>
    <n v="1437755555.5555553"/>
    <n v="1496700162.3540831"/>
    <n v="1533568876.840893"/>
    <n v="1640200774.6996615"/>
    <n v="1691054300.0662863"/>
    <n v="1371776497.4804881"/>
    <n v="1484148566.079468"/>
    <n v="1625386015.5663264"/>
    <n v="1688158621.5782309"/>
  </r>
  <r>
    <x v="12"/>
    <s v="AUS"/>
    <s v="PIB (US$ a precios constantes de 2015)"/>
    <s v="NY.GDP.MKTP.KD"/>
    <n v="204552693089.73541"/>
    <n v="209630955779.93762"/>
    <n v="212344121294.87698"/>
    <n v="225544205184.52307"/>
    <n v="241288179166.10181"/>
    <n v="255718059201.20654"/>
    <n v="261801097293.83432"/>
    <n v="278307830410.40729"/>
    <n v="292484137221.48981"/>
    <n v="313090190822.92474"/>
    <n v="335556914435.48193"/>
    <n v="348981339247.18518"/>
    <n v="362627385697.04181"/>
    <n v="372125844372.7453"/>
    <n v="387410259374.59485"/>
    <n v="392587775927.28296"/>
    <n v="402751099517.44666"/>
    <n v="417230606483.79431"/>
    <n v="420958064894.8222"/>
    <n v="438008654792.13971"/>
    <n v="451305273260.36798"/>
    <n v="466378263938.70313"/>
    <n v="481886340041.63385"/>
    <n v="471166922893.15881"/>
    <n v="492801545631.17688"/>
    <n v="518814215454.1886"/>
    <n v="539388997290.73077"/>
    <n v="553211117373.35339"/>
    <n v="585042374929.35571"/>
    <n v="607734119284.94604"/>
    <n v="629485671230.8241"/>
    <n v="627081824259.93323"/>
    <n v="629763718009.97974"/>
    <n v="655238649441.03015"/>
    <n v="681315222435.77942"/>
    <n v="707771815356.07385"/>
    <n v="735119653575.81335"/>
    <n v="763886278172.32031"/>
    <n v="799508217490.11218"/>
    <n v="839704672154.94165"/>
    <n v="872633840587.07214"/>
    <n v="890305786856.39026"/>
    <n v="925736696479.94556"/>
    <n v="954348321893.94019"/>
    <n v="994663065408.58167"/>
    <n v="1026036123626.8068"/>
    <n v="1054306478910.8842"/>
    <n v="1094089602422.3479"/>
    <n v="1133326149869.1631"/>
    <n v="1154775181480.752"/>
    <n v="1180486690611.4263"/>
    <n v="1208924281855.5825"/>
    <n v="1256294887279.4084"/>
    <n v="1289036425122.1819"/>
    <n v="1322646774172.1948"/>
    <n v="1351768945139.1135"/>
    <n v="1389336532090.019"/>
    <n v="1421551208676.4463"/>
    <n v="1462866648667.6577"/>
    <n v="1494773366351.9883"/>
    <n v="1489770563790.1143"/>
    <n v="1521231998735.2102"/>
    <n v="1586172577281.9646"/>
    <n v="1634027215240.6533"/>
  </r>
  <r>
    <x v="13"/>
    <s v="AUT"/>
    <s v="PIB (US$ a precios constantes de 2015)"/>
    <s v="NY.GDP.MKTP.KD"/>
    <n v="84295314542.464447"/>
    <n v="88963571626.895706"/>
    <n v="91319927608.171127"/>
    <n v="95098990567.893555"/>
    <n v="100923189151.18526"/>
    <n v="104435492666.46597"/>
    <n v="110328642781.45955"/>
    <n v="113647381090.94046"/>
    <n v="118730047442.40247"/>
    <n v="126181387506.09941"/>
    <n v="135169130645.02414"/>
    <n v="142082989214.12881"/>
    <n v="150903303811.96237"/>
    <n v="158283132276.33307"/>
    <n v="164522871893.8389"/>
    <n v="163924443911.63849"/>
    <n v="171429635128.008"/>
    <n v="180138227325.3201"/>
    <n v="179758759493.05878"/>
    <n v="189387896783.51617"/>
    <n v="192667120935.94159"/>
    <n v="192389112509.96347"/>
    <n v="196258547592.12128"/>
    <n v="202093486979.04709"/>
    <n v="202197109935.46704"/>
    <n v="207249365643.95923"/>
    <n v="212018988476.74518"/>
    <n v="214896442478.29477"/>
    <n v="221979171128.37833"/>
    <n v="230607667590.11621"/>
    <n v="240629049863.28342"/>
    <n v="248910606082.17444"/>
    <n v="254121610895.05728"/>
    <n v="255460346929.85965"/>
    <n v="261596808649.45456"/>
    <n v="268576168421.57016"/>
    <n v="274886456416.22644"/>
    <n v="280641477589.6405"/>
    <n v="290692443914.52332"/>
    <n v="301030430129.08197"/>
    <n v="311192381028.41394"/>
    <n v="315135711888.11316"/>
    <n v="320340348097.00378"/>
    <n v="323356259321.68738"/>
    <n v="332200441760.8241"/>
    <n v="339655236682.6756"/>
    <n v="351387070656.3396"/>
    <n v="364484726093.49194"/>
    <n v="369807747327.81226"/>
    <n v="355886045571.66382"/>
    <n v="362424005611.47632"/>
    <n v="373016924602.91382"/>
    <n v="375555101767.1521"/>
    <n v="375650886014.99982"/>
    <n v="378134963330.69122"/>
    <n v="381971148530.54279"/>
    <n v="389570224508.69116"/>
    <n v="398368950204.69897"/>
    <n v="408030932405.25751"/>
    <n v="413949540159.26526"/>
    <n v="386492302608.55048"/>
    <n v="402871331324.59735"/>
    <n v="422235060667.71448"/>
    <n v="418735512774.00745"/>
  </r>
  <r>
    <x v="14"/>
    <s v="AZE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240091907.576733"/>
    <n v="20098411228.661938"/>
    <n v="15556170225.374197"/>
    <n v="11962695102.612385"/>
    <n v="9606044019.069437"/>
    <n v="8472530910.5357208"/>
    <n v="8582673761.930479"/>
    <n v="9080468852.8211842"/>
    <n v="9988515702.829031"/>
    <n v="10727665994.647696"/>
    <n v="11918436828.164114"/>
    <n v="13098362058.102568"/>
    <n v="14334705485.385927"/>
    <n v="15798035139.510815"/>
    <n v="17259953999.187225"/>
    <n v="22086102614.13002"/>
    <n v="29705808016.004879"/>
    <n v="37132259975.913261"/>
    <n v="41127311680.07785"/>
    <n v="44950656172.180161"/>
    <n v="47220189860.765785"/>
    <n v="47267410115.707581"/>
    <n v="48290862738.26815"/>
    <n v="51096465688.574501"/>
    <n v="52501877459.744362"/>
    <n v="53076235354.746017"/>
    <n v="51430872122.242577"/>
    <n v="51533733835.092964"/>
    <n v="52306739842.619354"/>
    <n v="53614408373.959106"/>
    <n v="51308988759.027374"/>
    <n v="54190732985.912254"/>
    <n v="56745718946.457932"/>
    <n v="57383526259.142403"/>
  </r>
  <r>
    <x v="15"/>
    <s v="BDI"/>
    <s v="PIB (US$ a precios constantes de 2015)"/>
    <s v="NY.GDP.MKTP.KD"/>
    <n v="798536036.45681655"/>
    <n v="688768194.43073249"/>
    <n v="751192343.69022441"/>
    <n v="782257207.62360203"/>
    <n v="831328498.74012268"/>
    <n v="864309175.83938503"/>
    <n v="904179696.71667457"/>
    <n v="1029151061.6946675"/>
    <n v="1026085388.7065136"/>
    <n v="1011109250.3016102"/>
    <n v="1226735079.7704759"/>
    <n v="1260431391.1634841"/>
    <n v="1179713806.9812968"/>
    <n v="1260984889.4828515"/>
    <n v="1251819552.425837"/>
    <n v="1260556254.4031155"/>
    <n v="1360677964.1039014"/>
    <n v="1516740284.2756634"/>
    <n v="1502474189.3552303"/>
    <n v="1527489707.7469099"/>
    <n v="1542627981.9459476"/>
    <n v="1730262074.4073141"/>
    <n v="1712032036.3021946"/>
    <n v="1775639624.6481931"/>
    <n v="1778401525.634023"/>
    <n v="1987953781.699614"/>
    <n v="2052565867.0603299"/>
    <n v="2165520539.6411691"/>
    <n v="2274468405.6735435"/>
    <n v="2305162407.6769996"/>
    <n v="2385838991.8942237"/>
    <n v="2505055464.2299113"/>
    <n v="2530356483.611187"/>
    <n v="2372462238.9986653"/>
    <n v="2281596935.3352108"/>
    <n v="2100894457.9711545"/>
    <n v="1932822901.3767209"/>
    <n v="1902091017.3055549"/>
    <n v="1992440340.5342927"/>
    <n v="1972316693.1646686"/>
    <n v="1955416620.3026407"/>
    <n v="1995616214.180727"/>
    <n v="2084351676.5382409"/>
    <n v="2058844882.2828271"/>
    <n v="2158362397.8683076"/>
    <n v="2177787659.4685888"/>
    <n v="2295688883.377964"/>
    <n v="2374934882.817492"/>
    <n v="2490397480.7240243"/>
    <n v="2585349995.2736325"/>
    <n v="2717827465.4466162"/>
    <n v="2827426575.5041485"/>
    <n v="2953153932.0447178"/>
    <n v="3098572839.6490965"/>
    <n v="3229972475.4054451"/>
    <n v="3104003546.2649732"/>
    <n v="3085379496.7683783"/>
    <n v="3100806433.2029543"/>
    <n v="3150727414.316329"/>
    <n v="3207836406.8824778"/>
    <n v="3218331064.7921572"/>
    <n v="3318099327.7590775"/>
    <n v="3379450965.7308035"/>
    <n v="3470696161.9825921"/>
  </r>
  <r>
    <x v="16"/>
    <s v="BEL"/>
    <s v="PIB (US$ a precios constantes de 2015)"/>
    <s v="NY.GDP.MKTP.KD"/>
    <n v="106632376498.82762"/>
    <n v="111940987323.2747"/>
    <n v="117775355510.85956"/>
    <n v="122900449368.95158"/>
    <n v="131450246167.5309"/>
    <n v="136130742292.21573"/>
    <n v="140426885556.81393"/>
    <n v="145858803843.10782"/>
    <n v="151976311145.68512"/>
    <n v="162052036310.91882"/>
    <n v="172346670831.88028"/>
    <n v="179216111161.92169"/>
    <n v="188706688044.54626"/>
    <n v="200749386449.41852"/>
    <n v="209914113819.73413"/>
    <n v="205787325003.57007"/>
    <n v="217419959648.70914"/>
    <n v="218781345279.66071"/>
    <n v="224998884653.73807"/>
    <n v="230266272692.69669"/>
    <n v="240499429910.32327"/>
    <n v="239827755215.6225"/>
    <n v="241254698634.7424"/>
    <n v="242007033807.07877"/>
    <n v="247975853676.46472"/>
    <n v="252071901218.96823"/>
    <n v="256666571621.10886"/>
    <n v="262586995647.71863"/>
    <n v="274989527944.73969"/>
    <n v="284529373856.7854"/>
    <n v="293456205020.65765"/>
    <n v="298835475229.99396"/>
    <n v="303409615205.60645"/>
    <n v="300491199097.64783"/>
    <n v="310187964527.32758"/>
    <n v="317585194591.87482"/>
    <n v="321781927100.66388"/>
    <n v="333989231728.47638"/>
    <n v="340541460104.06232"/>
    <n v="352605970422.85138"/>
    <n v="365711203833.04669"/>
    <n v="369732633305.117"/>
    <n v="376043542626.99194"/>
    <n v="379946808976.21075"/>
    <n v="393515485920.82007"/>
    <n v="402651880769.96069"/>
    <n v="412928965821.95288"/>
    <n v="428111873071.13257"/>
    <n v="430025228051.01532"/>
    <n v="421335523091.64032"/>
    <n v="433403805754.25757"/>
    <n v="440747893479.88257"/>
    <n v="444005978083.20294"/>
    <n v="446045040873.59357"/>
    <n v="453086009677.49982"/>
    <n v="462335574841.48413"/>
    <n v="468191916732.07007"/>
    <n v="475774660680.46851"/>
    <n v="484305039588.74976"/>
    <n v="495157518025.82001"/>
    <n v="468892019366.05438"/>
    <n v="501376781582.92932"/>
    <n v="516491897594.49176"/>
    <n v="523542297257.96826"/>
  </r>
  <r>
    <x v="17"/>
    <s v="BEN"/>
    <s v="PIB (US$ a precios constantes de 2015)"/>
    <s v="NY.GDP.MKTP.KD"/>
    <n v="1651120631.1584187"/>
    <n v="1702986960.8567867"/>
    <n v="1644635648.3798811"/>
    <n v="1722427374.5679512"/>
    <n v="1836981870.4094729"/>
    <n v="1934229170.8172536"/>
    <n v="2003394550.8974023"/>
    <n v="2024999131.0219314"/>
    <n v="2102806394.2334247"/>
    <n v="2163314605.6254125"/>
    <n v="2208695701.7552123"/>
    <n v="2175635020.67241"/>
    <n v="2315449323.5348682"/>
    <n v="2401263703.3443828"/>
    <n v="2481449394.1221046"/>
    <n v="2359973874.1975985"/>
    <n v="2380844452.6075678"/>
    <n v="2499497734.0587072"/>
    <n v="2530868380.9230056"/>
    <n v="2696279545.7068257"/>
    <n v="2879134857.7138629"/>
    <n v="3165730597.0627146"/>
    <n v="3236486776.180131"/>
    <n v="3095770068.3047056"/>
    <n v="3341259668.0385733"/>
    <n v="3592867374.7250533"/>
    <n v="3670873612.856019"/>
    <n v="3615810400.2874475"/>
    <n v="3738937613.8494492"/>
    <n v="3632222333.4965219"/>
    <n v="3958255490.404727"/>
    <n v="4125523427.9887362"/>
    <n v="4247544481.0971947"/>
    <n v="4495438486.401535"/>
    <n v="4586264345.7031212"/>
    <n v="4863513136.0340595"/>
    <n v="5073825257.9366264"/>
    <n v="5364793325.1821423"/>
    <n v="5577293439.9887342"/>
    <n v="5875201745.4160728"/>
    <n v="6219354272.655139"/>
    <n v="6551040876.0551958"/>
    <n v="6855207726.2855511"/>
    <n v="7091272067.488759"/>
    <n v="7405393050.9338465"/>
    <n v="7532259620.4786186"/>
    <n v="7829312267.7690983"/>
    <n v="8298002249.6104259"/>
    <n v="8704320326.2192554"/>
    <n v="8906198943.3098125"/>
    <n v="9094481753.6408081"/>
    <n v="9364019722.0860806"/>
    <n v="9814543622.2407093"/>
    <n v="10520350021.896894"/>
    <n v="11189200116.266983"/>
    <n v="11388160996.773783"/>
    <n v="11768488383.326948"/>
    <n v="12435945492.742939"/>
    <n v="13268812302.661844"/>
    <n v="14179807374.684252"/>
    <n v="14725558723.298468"/>
    <n v="15779238957.311699"/>
    <n v="16765953414.879824"/>
    <n v="17831064526.399136"/>
  </r>
  <r>
    <x v="18"/>
    <s v="BFA"/>
    <s v="PIB (US$ a precios constantes de 2015)"/>
    <s v="NY.GDP.MKTP.KD"/>
    <n v="1166782785.9860783"/>
    <n v="1213966641.5057979"/>
    <n v="1288368214.2229872"/>
    <n v="1272031494.3260815"/>
    <n v="1301069673.8108182"/>
    <n v="1350049032.1150579"/>
    <n v="1357307072.3475432"/>
    <n v="1477066550.516732"/>
    <n v="1522423925.1943893"/>
    <n v="1553269467.6991994"/>
    <n v="1555087097.5831063"/>
    <n v="1577065763.725805"/>
    <n v="1613519619.0079443"/>
    <n v="1620769604.8328187"/>
    <n v="1755073486.5533731"/>
    <n v="1807697309.8052602"/>
    <n v="1961982376.4041958"/>
    <n v="1969248648.0536447"/>
    <n v="2059988179.5640647"/>
    <n v="2135478949.5386467"/>
    <n v="2152496130.2440257"/>
    <n v="2244091371.1419826"/>
    <n v="2458675800.4236913"/>
    <n v="2467182443.5043564"/>
    <n v="2423298751.1015038"/>
    <n v="2629699950.5581493"/>
    <n v="2838902120.3027673"/>
    <n v="2832192750.1847219"/>
    <n v="2996335113.9577742"/>
    <n v="3060764327.2647138"/>
    <n v="3042310107.5039945"/>
    <n v="3318247161.4423285"/>
    <n v="3325969079.6916523"/>
    <n v="3441093672.5071349"/>
    <n v="3486344304.5404682"/>
    <n v="3685636779.1288176"/>
    <n v="4091600230.3120852"/>
    <n v="4350059854.8711376"/>
    <n v="4667950033.0184584"/>
    <n v="5013156038.3976002"/>
    <n v="5107828181.2008371"/>
    <n v="5445629583.6013689"/>
    <n v="5682675869.6848354"/>
    <n v="6126066307.1318293"/>
    <n v="6400419254.5594702"/>
    <n v="6954815456.4763002"/>
    <n v="7389711520.7283983"/>
    <n v="7693530569.6539154"/>
    <n v="8139754707.2892981"/>
    <n v="8380850241.7352352"/>
    <n v="9088720451.7052689"/>
    <n v="9690626654.3460693"/>
    <n v="10315931043.874573"/>
    <n v="10913490102.152882"/>
    <n v="11385699970.030024"/>
    <n v="11832159315.62978"/>
    <n v="12537116611.654055"/>
    <n v="13314855313.130154"/>
    <n v="14194244128.606535"/>
    <n v="15030172259.34753"/>
    <n v="15332394848.496334"/>
    <n v="16396333530.079388"/>
    <n v="16687846475.141464"/>
    <n v="17181836771.135571"/>
  </r>
  <r>
    <x v="19"/>
    <s v="BGD"/>
    <s v="PIB (US$ a precios constantes de 2015)"/>
    <s v="NY.GDP.MKTP.KD"/>
    <n v="22255159155.780346"/>
    <n v="23603412489.404339"/>
    <n v="24890513882.398087"/>
    <n v="24777039450.871822"/>
    <n v="27490816189.89521"/>
    <n v="27932389687.141441"/>
    <n v="28649361617.875446"/>
    <n v="28111938580.076385"/>
    <n v="30779608064.492527"/>
    <n v="31155383343.936924"/>
    <n v="32906269869.122108"/>
    <n v="31103176396.752525"/>
    <n v="26756902909.352165"/>
    <n v="27646751931.216354"/>
    <n v="30298616294.943653"/>
    <n v="29059943993.948383"/>
    <n v="30705132388.311199"/>
    <n v="31525897787.283546"/>
    <n v="33755988640.503487"/>
    <n v="35376827870.825897"/>
    <n v="35666614279.804138"/>
    <n v="38246717074.684959"/>
    <n v="39063027403.478439"/>
    <n v="40579081622.180695"/>
    <n v="42528220713.837135"/>
    <n v="43949520082.244606"/>
    <n v="45783701688.12291"/>
    <n v="47510846898.761162"/>
    <n v="48658830994.135696"/>
    <n v="50039078698.334221"/>
    <n v="52852404884.44429"/>
    <n v="54694431600.889481"/>
    <n v="57671277526.103729"/>
    <n v="60388495364.076866"/>
    <n v="62737684189.65844"/>
    <n v="65950655343.305763"/>
    <n v="68933550207.462845"/>
    <n v="72028595263.917328"/>
    <n v="75757534997.082642"/>
    <n v="79295530342.610779"/>
    <n v="83492876462.580017"/>
    <n v="87732050072.433609"/>
    <n v="91094928286.753403"/>
    <n v="95412433810.549088"/>
    <n v="100411599680.56961"/>
    <n v="106974446547.81476"/>
    <n v="114111679980.53601"/>
    <n v="122166366287.0495"/>
    <n v="129513194709.78996"/>
    <n v="136047297014.32117"/>
    <n v="143627564235.82758"/>
    <n v="152912194516.00174"/>
    <n v="162884300249.5256"/>
    <n v="172679519745.88419"/>
    <n v="183145727938.25848"/>
    <n v="195146607942.29083"/>
    <n v="209028319381.09058"/>
    <n v="222803808194.79813"/>
    <n v="239111738272.24411"/>
    <n v="257958322599.36734"/>
    <n v="266852770837.43774"/>
    <n v="285368828340.48328"/>
    <n v="305629526532.026"/>
    <n v="323279975125.39056"/>
  </r>
  <r>
    <x v="20"/>
    <s v="BGR"/>
    <s v="PIB (US$ a precios constantes de 2015)"/>
    <s v="NY.GDP.MKTP.KD"/>
    <m/>
    <m/>
    <m/>
    <m/>
    <m/>
    <m/>
    <m/>
    <m/>
    <m/>
    <m/>
    <m/>
    <m/>
    <m/>
    <m/>
    <m/>
    <m/>
    <m/>
    <m/>
    <m/>
    <m/>
    <n v="30408546077.830711"/>
    <n v="31898614054.912628"/>
    <n v="32643308122.872692"/>
    <n v="33763073451.894703"/>
    <n v="34909817206.716576"/>
    <n v="35846601464.147934"/>
    <n v="37354883785.454941"/>
    <n v="39616540393.691841"/>
    <n v="43952448746.312668"/>
    <n v="42506465016.451088"/>
    <n v="38630990310.869064"/>
    <n v="35368465963.240295"/>
    <n v="32796333900.612656"/>
    <n v="32310877694.576801"/>
    <n v="32898293113.228947"/>
    <n v="33839848536.419327"/>
    <n v="35601345586.566818"/>
    <n v="30576080099.841156"/>
    <n v="31734644883.140453"/>
    <n v="29070174722.033123"/>
    <n v="30403689584.751526"/>
    <n v="31566236668.93578"/>
    <n v="33419783866.575901"/>
    <n v="35170029498.52507"/>
    <n v="37459748127.97821"/>
    <n v="40103038915.361923"/>
    <n v="42831084070.796455"/>
    <n v="45681230428.863167"/>
    <n v="48481288291.35466"/>
    <n v="46858550601.316086"/>
    <n v="47587369525.754478"/>
    <n v="48582029158.157471"/>
    <n v="48945818584.070793"/>
    <n v="48680164511.005219"/>
    <n v="49142357612.888588"/>
    <n v="50811995688.677109"/>
    <n v="52349885976.855003"/>
    <n v="53787375765.827087"/>
    <n v="55236895280.235985"/>
    <n v="57465808373.042885"/>
    <n v="55186624687.996368"/>
    <n v="59414884842.296349"/>
    <n v="61747770024.960297"/>
    <n v="62887874404.356712"/>
  </r>
  <r>
    <x v="21"/>
    <s v="BHR"/>
    <s v="PIB (US$ a precios constantes de 2015)"/>
    <s v="NY.GDP.MKTP.KD"/>
    <m/>
    <m/>
    <m/>
    <m/>
    <m/>
    <m/>
    <m/>
    <m/>
    <m/>
    <m/>
    <n v="3730499800.8246703"/>
    <n v="3790454261.8789024"/>
    <n v="4210135489.2586865"/>
    <n v="4796356886.4702682"/>
    <n v="5202714900.5191002"/>
    <n v="4743064033.1465101"/>
    <n v="6188574334.6257181"/>
    <n v="6994181257.5008411"/>
    <n v="7264315323.4861355"/>
    <n v="7516333891.6326513"/>
    <n v="7710276297.9264603"/>
    <n v="7300344242.098752"/>
    <n v="6748714337.4286737"/>
    <n v="7179037792.7147207"/>
    <n v="7538251433.2995033"/>
    <n v="7179561187.029192"/>
    <n v="7264494959.0661106"/>
    <n v="8019930467.8217878"/>
    <n v="8581324930.8612747"/>
    <n v="8612561566.1584702"/>
    <n v="8994786805.282568"/>
    <n v="10004901253.780508"/>
    <n v="10674228984.238903"/>
    <n v="12048002966.445063"/>
    <n v="12017882780.171181"/>
    <n v="12490184557.358402"/>
    <n v="13003531906.455748"/>
    <n v="13405731120.590055"/>
    <n v="14047866015.092506"/>
    <n v="14651924107.69672"/>
    <n v="15428486349.957893"/>
    <n v="15812801938.831257"/>
    <n v="16342301623.77421"/>
    <n v="17371285163.498268"/>
    <n v="18583967735.48526"/>
    <n v="19841916115.861492"/>
    <n v="21125092855.280571"/>
    <n v="22877199701.215645"/>
    <n v="24305883287.566269"/>
    <n v="24923224998.771408"/>
    <n v="26003472133.736046"/>
    <n v="26519254907.045898"/>
    <n v="27507921484.930698"/>
    <n v="28997981526.863174"/>
    <n v="30259507062.626076"/>
    <n v="31125851063.829788"/>
    <n v="32207012659.569965"/>
    <n v="33434649354.827557"/>
    <n v="34200122146.430996"/>
    <n v="34941226710.038704"/>
    <n v="33318333440.646515"/>
    <n v="34181414161.676807"/>
    <n v="35853398106.131462"/>
    <n v="36743087753.016609"/>
  </r>
  <r>
    <x v="22"/>
    <s v="BHS"/>
    <s v="PIB (US$ a precios constantes de 2015)"/>
    <s v="NY.GDP.MKTP.KD"/>
    <n v="2185539617.9053078"/>
    <n v="2418673258.2122407"/>
    <n v="2671472307.3813739"/>
    <n v="2952619527.7110314"/>
    <n v="3262690851.5826082"/>
    <n v="3602845834.4985867"/>
    <n v="3929693440.1462159"/>
    <n v="4306869891.1220226"/>
    <n v="4669584290.4367704"/>
    <n v="5088990595.1496067"/>
    <n v="4801480462.4459925"/>
    <n v="4879576961.824502"/>
    <n v="4708921763.3807859"/>
    <n v="5065272658.658577"/>
    <n v="4216625274.1461697"/>
    <n v="3592432908.73383"/>
    <n v="3778707199.9931827"/>
    <n v="4124645169.6161222"/>
    <n v="4709500062.0844469"/>
    <n v="5940530212.5392952"/>
    <n v="6326384397.4472609"/>
    <n v="5742686546.0236177"/>
    <n v="6127383246.2495518"/>
    <n v="6347788399.7646799"/>
    <n v="7247342928.1990433"/>
    <n v="7597330171.7439356"/>
    <n v="7733854212.2102604"/>
    <n v="7964672587.211751"/>
    <n v="8148633240.1289825"/>
    <n v="8696818672.3676071"/>
    <n v="8557995783.7053242"/>
    <n v="8200118797.8393059"/>
    <n v="7886416504.7710304"/>
    <n v="7910691414.9616823"/>
    <n v="8159792440.423193"/>
    <n v="8517089517.9457207"/>
    <n v="8876811379.7154369"/>
    <n v="8991122802.8037319"/>
    <n v="9415215953.2413273"/>
    <n v="10087848763.987806"/>
    <n v="10506335029.828781"/>
    <n v="10782232420.152214"/>
    <n v="11073887089.600636"/>
    <n v="10933811645.109165"/>
    <n v="11030288728.340694"/>
    <n v="11404886621.649488"/>
    <n v="11691901110.742086"/>
    <n v="11860977682.457462"/>
    <n v="11585370303.406269"/>
    <n v="11101631501.311504"/>
    <n v="11272448140.660315"/>
    <n v="11341567493.877293"/>
    <n v="11681576709.450377"/>
    <n v="11347097042.134651"/>
    <n v="11556707522.666641"/>
    <n v="11671900000"/>
    <n v="11559626969.473848"/>
    <n v="11883240881.123014"/>
    <n v="12195757028.087833"/>
    <n v="12030228260.936182"/>
    <n v="9452936752.7172203"/>
    <n v="10908986680.2055"/>
    <n v="12085195064.067894"/>
    <n v="12404130127.191605"/>
  </r>
  <r>
    <x v="23"/>
    <s v="BIH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19825382.2529392"/>
    <n v="3190791225.5910435"/>
    <n v="2985402939.1684227"/>
    <n v="2920280897.2198343"/>
    <n v="3245365558.7890391"/>
    <n v="3763595298.4192724"/>
    <n v="5803437611.2848825"/>
    <n v="7929882641.9399691"/>
    <n v="9247541638.9753952"/>
    <n v="10128052806.590559"/>
    <n v="10676417585.109543"/>
    <n v="10935140618.726934"/>
    <n v="11484898712.327587"/>
    <n v="11929035686.013885"/>
    <n v="12683578944.503292"/>
    <n v="13177880591.462847"/>
    <n v="13891331517.239658"/>
    <n v="14704964354.814198"/>
    <n v="15505477767.973995"/>
    <n v="15039622521.678576"/>
    <n v="15169815910.704439"/>
    <n v="15315372000.553444"/>
    <n v="15189504687.290894"/>
    <n v="15546436275.299232"/>
    <n v="15725819000.029484"/>
    <n v="16404348871.443703"/>
    <n v="16936219727.676678"/>
    <n v="17485647794.262745"/>
    <n v="18154910824.659252"/>
    <n v="18679105433.991192"/>
    <n v="18115912632.436096"/>
    <n v="19454671753.543537"/>
    <n v="20276983961.367558"/>
    <n v="20616871525.359909"/>
  </r>
  <r>
    <x v="24"/>
    <s v="BLR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452716336.867931"/>
    <n v="29099285028.635754"/>
    <n v="26305753290.580231"/>
    <n v="24306515540.912186"/>
    <n v="21462652290.354237"/>
    <n v="19230536338.72805"/>
    <n v="19768992246.13797"/>
    <n v="22022658441.203865"/>
    <n v="23872559843.852646"/>
    <n v="24684226697.456352"/>
    <n v="26115912675.503651"/>
    <n v="27349969477.166916"/>
    <n v="28729848599.948242"/>
    <n v="30753347145.232735"/>
    <n v="34274526374.858948"/>
    <n v="37496332398.594612"/>
    <n v="41245963659.150055"/>
    <n v="44793119255.665466"/>
    <n v="49362017183.559082"/>
    <n v="49460738872.926735"/>
    <n v="53317819268.920998"/>
    <n v="56185628815.10614"/>
    <n v="57133556524.042404"/>
    <n v="57706875064.528282"/>
    <n v="58703016906.462868"/>
    <n v="56454889146.60878"/>
    <n v="55028933824.644188"/>
    <n v="56422059344.401382"/>
    <n v="58199150811.714615"/>
    <n v="59040830813.234589"/>
    <n v="58643542627.101646"/>
    <n v="60073780097.180237"/>
    <n v="57275396304.676155"/>
    <n v="59501256894.337402"/>
  </r>
  <r>
    <x v="25"/>
    <s v="BLZ"/>
    <s v="PIB (US$ a precios constantes de 2015)"/>
    <s v="NY.GDP.MKTP.KD"/>
    <n v="142478215.9458769"/>
    <n v="149448645.2466729"/>
    <n v="156760647.64673892"/>
    <n v="164530385.99087417"/>
    <n v="172756707.70655704"/>
    <n v="181274547.94345385"/>
    <n v="189922875.85505351"/>
    <n v="199254020.65875873"/>
    <n v="213933513.59311825"/>
    <n v="224857760.60072228"/>
    <n v="235668232.23517862"/>
    <n v="244999377.03888386"/>
    <n v="270034157.7884984"/>
    <n v="284486099.97656184"/>
    <n v="323062372.9492296"/>
    <n v="334669436.84893918"/>
    <n v="334555579.14918268"/>
    <n v="356290297.79124302"/>
    <n v="384511365.27526402"/>
    <n v="413415167.32478178"/>
    <n v="468964447.72220153"/>
    <n v="474281429.80189639"/>
    <n v="473770579.24089104"/>
    <n v="463616823.07778406"/>
    <n v="472759648.29987228"/>
    <n v="477546405.5190469"/>
    <n v="499224419.05025321"/>
    <n v="552817678.74015927"/>
    <n v="606925877.93967664"/>
    <n v="685882207.49564624"/>
    <n v="750867159.90026128"/>
    <n v="839309583.81967175"/>
    <n v="946205904.36317956"/>
    <n v="1004282944.169964"/>
    <n v="1004082219.4568968"/>
    <n v="1011427666.3339379"/>
    <n v="1022607040.5981467"/>
    <n v="1065910527.2070924"/>
    <n v="1107406654.9344258"/>
    <n v="1211759703.3517113"/>
    <n v="1360086531.598736"/>
    <n v="1428003313.5202382"/>
    <n v="1505102242.0796807"/>
    <n v="1650573765.1319394"/>
    <n v="1729482180.3448431"/>
    <n v="1767862663.3378778"/>
    <n v="1847618999.6697688"/>
    <n v="1908535443.7844138"/>
    <n v="1879170833.4642401"/>
    <n v="1870701556.0809081"/>
    <n v="1893897374.5634942"/>
    <n v="1888250122.4983153"/>
    <n v="1957390277.3085971"/>
    <n v="2044252286.3110735"/>
    <n v="2126131097.5749006"/>
    <n v="2194709309.2420449"/>
    <n v="2194467135.9180799"/>
    <n v="2154673433.6832294"/>
    <n v="2177418128.3264904"/>
    <n v="2269658667.0621414"/>
    <n v="1957996150.259443"/>
    <n v="2307742191.2964907"/>
    <n v="2509307581.4663134"/>
    <n v="2623271102.7779083"/>
  </r>
  <r>
    <x v="26"/>
    <s v="BMU"/>
    <s v="PIB (US$ a precios constantes de 2015)"/>
    <s v="NY.GDP.MKTP.KD"/>
    <n v="1684353374.0343132"/>
    <n v="1763181111.9207506"/>
    <n v="1841995307.604116"/>
    <n v="1861704657.402246"/>
    <n v="2068540044.8556812"/>
    <n v="2167002550.9988294"/>
    <n v="2478262917.4335356"/>
    <n v="2807253304.7223115"/>
    <n v="2866353374.3065763"/>
    <n v="2964853490.1742983"/>
    <n v="3152003710.5244699"/>
    <n v="3260353838.0956216"/>
    <n v="3319453907.6798868"/>
    <n v="3368703965.6667733"/>
    <n v="3398254000.4589057"/>
    <n v="3526304151.1187596"/>
    <n v="3841504522.234838"/>
    <n v="4068054788.8684673"/>
    <n v="4127154858.4527316"/>
    <n v="4215804962.8291283"/>
    <n v="4550705357.0339088"/>
    <n v="4659055484.6050615"/>
    <n v="4412805194.7766781"/>
    <n v="4501455299.1530752"/>
    <n v="4523125324.5824633"/>
    <n v="4432505217.9714327"/>
    <n v="4728005565.7867022"/>
    <n v="4905305774.5394955"/>
    <n v="5104276008.7216787"/>
    <n v="5126931035.3744364"/>
    <n v="5127916036.597806"/>
    <n v="4946675890.0829706"/>
    <n v="4943720834.2348738"/>
    <n v="5092455993.9351931"/>
    <n v="5122991040.7680826"/>
    <n v="5348359015.5822506"/>
    <n v="5487441777.6363392"/>
    <n v="5739864145.6466408"/>
    <n v="5963718852.7355537"/>
    <n v="6165450410.7722025"/>
    <n v="6739895068.977911"/>
    <n v="7226679645.6317396"/>
    <n v="7119884453.3035135"/>
    <n v="7362722827.7381439"/>
    <n v="7533631299.4758024"/>
    <n v="7659759815.3057594"/>
    <n v="8084406664.5289946"/>
    <n v="8354841362.0830936"/>
    <n v="8198943712.9048491"/>
    <n v="7737613934.724328"/>
    <n v="7543950875.4288225"/>
    <n v="7261600082.730732"/>
    <n v="6876350478.4056454"/>
    <n v="6857116738.5043077"/>
    <n v="6603330213.0372849"/>
    <n v="6654541000"/>
    <n v="6610806937.0284863"/>
    <n v="6849550930.1421471"/>
    <n v="6819905984.6490889"/>
    <n v="6840793088.0542965"/>
    <n v="6372686534.5115366"/>
    <n v="6718028461.7034426"/>
    <n v="7150073873.9876442"/>
    <m/>
  </r>
  <r>
    <x v="27"/>
    <s v="BOL"/>
    <s v="PIB (US$ a precios constantes de 2015)"/>
    <s v="NY.GDP.MKTP.KD"/>
    <n v="4727739746.5715361"/>
    <n v="4826516220.9473495"/>
    <n v="5095783596.3643274"/>
    <n v="5442175895.6495371"/>
    <n v="5657500838.4107285"/>
    <n v="5935478858.2904844"/>
    <n v="6361087691.7343016"/>
    <n v="6762931564.8917656"/>
    <n v="7339771963.5615673"/>
    <n v="7668160505.0799341"/>
    <n v="8069284227.9515381"/>
    <n v="8477859236.601202"/>
    <n v="9153331417.3773518"/>
    <n v="9678655892.405611"/>
    <n v="9963166545.2928066"/>
    <n v="10691575418.028084"/>
    <n v="11184945381.008108"/>
    <n v="11740973137.01598"/>
    <n v="11981979454.6341"/>
    <n v="11997956711.045912"/>
    <n v="11833371991.065466"/>
    <n v="11865986702.000885"/>
    <n v="11398616583.279902"/>
    <n v="10937870663.072479"/>
    <n v="10915922108.520479"/>
    <n v="10732928705.764578"/>
    <n v="10456675549.576675"/>
    <n v="10714274143.045914"/>
    <n v="11026005730.724852"/>
    <n v="11443905787.966902"/>
    <n v="11974420933.740677"/>
    <n v="12605057005.510117"/>
    <n v="12812599040.093473"/>
    <n v="13359606833.349638"/>
    <n v="13983135100.936197"/>
    <n v="14637304837.904131"/>
    <n v="15275687754.507015"/>
    <n v="16032477212.793756"/>
    <n v="16838807367.908745"/>
    <n v="16910689781.90016"/>
    <n v="17334777888.126236"/>
    <n v="17626660726.911728"/>
    <n v="18064782966.664845"/>
    <n v="18554580623.708836"/>
    <n v="19328918118.465675"/>
    <n v="20183533307.222988"/>
    <n v="21151739180.876781"/>
    <n v="22117185836.643009"/>
    <n v="23477060537.735123"/>
    <n v="24265185360.046368"/>
    <n v="25266542246.061188"/>
    <n v="26581436461.71759"/>
    <n v="27943010890.653271"/>
    <n v="29842021104.139645"/>
    <n v="31471565408.631233"/>
    <n v="33000198248.914616"/>
    <n v="34407300587.15242"/>
    <n v="35850757840.606789"/>
    <n v="37364958928.441467"/>
    <n v="38193230080.246307"/>
    <n v="34855949803.364365"/>
    <n v="36986126802.976509"/>
    <n v="38319728337.571381"/>
    <n v="39256060138.671761"/>
  </r>
  <r>
    <x v="28"/>
    <s v="BRA"/>
    <s v="PIB (US$ a precios constantes de 2015)"/>
    <s v="NY.GDP.MKTP.KD"/>
    <n v="188463862179.82748"/>
    <n v="204671754327.29291"/>
    <n v="218180090112.89407"/>
    <n v="219489170653.57159"/>
    <n v="226951802455.79269"/>
    <n v="232398645714.73172"/>
    <n v="247969354977.61899"/>
    <n v="258384067886.67899"/>
    <n v="283705706539.57349"/>
    <n v="310657748660.83276"/>
    <n v="342966154521.55939"/>
    <n v="381868537891.98615"/>
    <n v="427464970662.72644"/>
    <n v="487176363120.18585"/>
    <n v="526900425054.7337"/>
    <n v="554123521039.74927"/>
    <n v="610960688375.51758"/>
    <n v="641107493117.41064"/>
    <n v="672969879603.4447"/>
    <n v="718459683218.46509"/>
    <n v="784557974074.56213"/>
    <n v="751214260176.39673"/>
    <n v="757449338535.8573"/>
    <n v="735256072916.75696"/>
    <n v="774959900854.26086"/>
    <n v="835794253071.32385"/>
    <n v="898395242626.3645"/>
    <n v="930108594691.07361"/>
    <n v="929550529534.25977"/>
    <n v="958924326267.54529"/>
    <n v="917211118074.90491"/>
    <n v="926678475712.6582"/>
    <n v="921636677135.00366"/>
    <n v="967024426444.36951"/>
    <n v="1023623112494.8711"/>
    <n v="1066858840351.5063"/>
    <n v="1090424301744.4408"/>
    <n v="1127442527385.9248"/>
    <n v="1131254386908.3352"/>
    <n v="1136547951157.0999"/>
    <n v="1186419100699.9722"/>
    <n v="1202909097080.8601"/>
    <n v="1239639467559.7856"/>
    <n v="1253781634079.4456"/>
    <n v="1325999012823.9805"/>
    <n v="1368459252346.1958"/>
    <n v="1422677453441.8821"/>
    <n v="1509032134017.6853"/>
    <n v="1585905180276.3542"/>
    <n v="1583909921216.6709"/>
    <n v="1703150236842.0015"/>
    <n v="1770840632932.7065"/>
    <n v="1804861597918.7854"/>
    <n v="1859094488365.1443"/>
    <n v="1868463501755.7876"/>
    <n v="1802212206904.6777"/>
    <n v="1743173232503.8567"/>
    <n v="1766233131755.0286"/>
    <n v="1797736845059.1101"/>
    <n v="1819683217790.4292"/>
    <n v="1760056587883.5273"/>
    <n v="1843881120012.4614"/>
    <n v="1899505377653.0613"/>
    <n v="1954752120905.4956"/>
  </r>
  <r>
    <x v="29"/>
    <s v="BRB"/>
    <s v="PIB (US$ a precios constantes de 2015)"/>
    <s v="NY.GDP.MKTP.KD"/>
    <n v="1484849466.2036407"/>
    <n v="1599131347.8299747"/>
    <n v="1744024778.9340603"/>
    <n v="1655455857.0146737"/>
    <n v="1738309365.7102933"/>
    <n v="1937082321.1830566"/>
    <n v="2014630918.112004"/>
    <n v="2228909805.3338261"/>
    <n v="2383190959.387742"/>
    <n v="2562368902.7364588"/>
    <n v="2806034887.9055748"/>
    <n v="2915827244.5283942"/>
    <n v="2952969071.5604258"/>
    <n v="2992559540.4370394"/>
    <n v="2853380347.0832496"/>
    <n v="2799166120.4595618"/>
    <n v="2921215669.6840582"/>
    <n v="3027612355.3311577"/>
    <n v="3175267172.5803008"/>
    <n v="3425891268.8678417"/>
    <n v="3575707714.5070014"/>
    <n v="3507778151.028131"/>
    <n v="3335864101.9162202"/>
    <n v="3352585225.2340956"/>
    <n v="3473290834.1850114"/>
    <n v="3511435896.7539158"/>
    <n v="3690665437.3173966"/>
    <n v="3786289361.2914987"/>
    <n v="3919013277.6271377"/>
    <n v="4060097755.6217146"/>
    <n v="3925806233.9750247"/>
    <n v="3772703448.5957246"/>
    <n v="3557941520.9817576"/>
    <n v="3586158416.5806727"/>
    <n v="3658268260.8890119"/>
    <n v="3731945710.5084023"/>
    <n v="3880345679.9545498"/>
    <n v="4064278036.4511833"/>
    <n v="4215813216.5194325"/>
    <n v="4229921664.3188901"/>
    <n v="4418034301.6449928"/>
    <n v="4313527280.9082689"/>
    <n v="4347492062.6477041"/>
    <n v="4442070916.4144392"/>
    <n v="4504775128.8564739"/>
    <n v="4682959599.2125874"/>
    <n v="4967240798.8513613"/>
    <n v="5070518869.2777309"/>
    <n v="5102638631.8195696"/>
    <n v="4846625170.4452991"/>
    <n v="4739141058.208849"/>
    <n v="4702536115.6045418"/>
    <n v="4690821610.1290998"/>
    <n v="4629205629.2939968"/>
    <n v="4626507362.5255957"/>
    <n v="4738650450"/>
    <n v="4859612937.2078867"/>
    <n v="4884627946.7054701"/>
    <n v="4848171404.0706091"/>
    <n v="4866589303.3771658"/>
    <n v="4256335239.0214815"/>
    <n v="4205974403.0521717"/>
    <n v="4772975989.9750166"/>
    <n v="4988546956.9900951"/>
  </r>
  <r>
    <x v="30"/>
    <s v="BRN"/>
    <s v="PIB (US$ a precios constantes de 2015)"/>
    <s v="NY.GDP.MKTP.KD"/>
    <m/>
    <m/>
    <m/>
    <m/>
    <m/>
    <m/>
    <m/>
    <m/>
    <m/>
    <m/>
    <m/>
    <m/>
    <m/>
    <m/>
    <n v="6708374272.0090561"/>
    <n v="6732220065.029623"/>
    <n v="8089125568.0977888"/>
    <n v="8972190900.8194695"/>
    <n v="9580131700.3081818"/>
    <n v="11741642090.670454"/>
    <n v="10920114268.139013"/>
    <n v="8755014240.0897808"/>
    <n v="9101419943.3764"/>
    <n v="9147060466.8022327"/>
    <n v="9201931536.7999229"/>
    <n v="9064753827.0419216"/>
    <n v="8818603160.5330486"/>
    <n v="8995780345.7768917"/>
    <n v="9094497085.5931644"/>
    <n v="8996805946.6120892"/>
    <n v="9094818998.1324482"/>
    <n v="9380936670.7630501"/>
    <n v="9827336126.3084908"/>
    <n v="9857267526.399971"/>
    <n v="10167317762.4289"/>
    <n v="10622682169.319403"/>
    <n v="10928436715.428885"/>
    <n v="10767660661.187532"/>
    <n v="10707522323.338659"/>
    <n v="11034332730.619076"/>
    <n v="11348747419.310724"/>
    <n v="11660161646.742599"/>
    <n v="12111654412.21843"/>
    <n v="12463371463.820574"/>
    <n v="12526226521.012846"/>
    <n v="12574766551.70125"/>
    <n v="13127769534.747841"/>
    <n v="13148062678.736069"/>
    <n v="12893027782.363365"/>
    <n v="12665525724.790527"/>
    <n v="12994698399.983398"/>
    <n v="13481391223.952816"/>
    <n v="13604454980.870796"/>
    <n v="13315220388.340401"/>
    <n v="12981227716.001574"/>
    <n v="12930291487.95813"/>
    <n v="12609889504.146011"/>
    <n v="12777424817.854198"/>
    <n v="12784099462.297207"/>
    <n v="13278730315.753111"/>
    <n v="13429254463.767731"/>
    <n v="13215626906.16552"/>
    <n v="13000432684.362951"/>
    <n v="13183357642.33033"/>
  </r>
  <r>
    <x v="31"/>
    <s v="BTN"/>
    <s v="PIB (US$ a precios constantes de 2015)"/>
    <s v="NY.GDP.MKTP.KD"/>
    <m/>
    <m/>
    <m/>
    <m/>
    <m/>
    <m/>
    <m/>
    <m/>
    <m/>
    <m/>
    <n v="125099418.3542693"/>
    <n v="128448455.49515349"/>
    <n v="129942641.26786749"/>
    <n v="131849016.28756671"/>
    <n v="138650137.8550176"/>
    <n v="134064533.14693728"/>
    <n v="146069543.25819358"/>
    <n v="157610840.47093728"/>
    <n v="168842995.86138302"/>
    <n v="176932208.66493663"/>
    <n v="185794276.1892969"/>
    <n v="213890634.43499044"/>
    <n v="221247988.54312024"/>
    <n v="244326401.50052086"/>
    <n v="255459522.43610561"/>
    <n v="265750793.59961352"/>
    <n v="296025649.12408698"/>
    <n v="382033899.89329171"/>
    <n v="400246880.96962273"/>
    <n v="429687309.73683256"/>
    <n v="474302249.77270037"/>
    <n v="472367686.54774863"/>
    <n v="494100809.91454405"/>
    <n v="503915463.48996079"/>
    <n v="528866856.08592159"/>
    <n v="566279518.00086939"/>
    <n v="597793952.93097961"/>
    <n v="629918434.90115428"/>
    <n v="667172005.29998744"/>
    <n v="720438830.6192733"/>
    <n v="744610045.48137438"/>
    <n v="799177857.82130408"/>
    <n v="882642231.44192505"/>
    <n v="951369703.10894477"/>
    <n v="1000434286.1565465"/>
    <n v="1069815118.8768451"/>
    <n v="1130161306.4279425"/>
    <n v="1312171339.7085328"/>
    <n v="1371605467.2893724"/>
    <n v="1476773212.2939544"/>
    <n v="1652979929.7795811"/>
    <n v="1790303681.08658"/>
    <n v="1881528473.4578135"/>
    <n v="1912732787.372648"/>
    <n v="2022100277.6694727"/>
    <n v="2154921010.6555772"/>
    <n v="2335946308.5346532"/>
    <n v="2417881199.8152184"/>
    <n v="2502552301.0951571"/>
    <n v="2646577902.6252952"/>
    <n v="2376140054.4824643"/>
    <n v="2481197935.9790154"/>
    <n v="2610564317.1567268"/>
    <m/>
  </r>
  <r>
    <x v="32"/>
    <s v="BWA"/>
    <s v="PIB (US$ a precios constantes de 2015)"/>
    <s v="NY.GDP.MKTP.KD"/>
    <n v="203297646.30314818"/>
    <n v="216193392.80357236"/>
    <n v="230606288.1358242"/>
    <n v="244260590.45206147"/>
    <n v="260949209.04705074"/>
    <n v="276120678.79021817"/>
    <n v="293637827.38068897"/>
    <n v="311034576.47289431"/>
    <n v="343901775.91048694"/>
    <n v="395911433.27224398"/>
    <n v="463692530.3925128"/>
    <n v="583423075.83285296"/>
    <n v="737224722.55798113"/>
    <n v="894277062.38089168"/>
    <n v="972953726.99391139"/>
    <n v="1055131834.8702329"/>
    <n v="1167475696.091516"/>
    <n v="1307713344.7353923"/>
    <n v="1495145303.783649"/>
    <n v="1676784360.5104783"/>
    <n v="1877778848.2570097"/>
    <n v="2047996824.3547297"/>
    <n v="2297146530.4144187"/>
    <n v="2599146160.6600103"/>
    <n v="2821253171.4300056"/>
    <n v="3022275113.0455275"/>
    <n v="3269283371.1360359"/>
    <n v="3657737271.8997808"/>
    <n v="4369166055.9877958"/>
    <n v="4939753185.1196995"/>
    <n v="5274313873.0868149"/>
    <n v="5667709608.200798"/>
    <n v="5833040675.4962778"/>
    <n v="5944807979.2182217"/>
    <n v="6160480628.085598"/>
    <n v="6593587689.5095797"/>
    <n v="6977980665.5423355"/>
    <n v="7558959721.659627"/>
    <n v="7592496073.4307346"/>
    <n v="8326480944.1969662"/>
    <n v="8491986059.0257149"/>
    <n v="8513264763.9008617"/>
    <n v="9029979997.3425865"/>
    <n v="9447697367.9289532"/>
    <n v="9703335214.0381222"/>
    <n v="10145481816.287102"/>
    <n v="10994036837.147158"/>
    <n v="11630872553.112648"/>
    <n v="12009117014.188185"/>
    <n v="10310519328.350323"/>
    <n v="11354171655.914991"/>
    <n v="12130630062.247677"/>
    <n v="12109898723.101776"/>
    <n v="13454439438.019258"/>
    <n v="14220639811.991568"/>
    <n v="13530748844.504961"/>
    <n v="14505561464.355886"/>
    <n v="15102373014.420195"/>
    <n v="15734874525.098438"/>
    <n v="16211987795.535988"/>
    <n v="14796883501.255041"/>
    <n v="16560766198.02759"/>
    <n v="17469294498.13942"/>
    <n v="17946366788.711197"/>
  </r>
  <r>
    <x v="33"/>
    <s v="CAF"/>
    <s v="PIB (US$ a precios constantes de 2015)"/>
    <s v="NY.GDP.MKTP.KD"/>
    <n v="980371513.73935664"/>
    <n v="1028934744.0924309"/>
    <n v="990722163.6720897"/>
    <n v="983717651.45013964"/>
    <n v="1004182171.7419811"/>
    <n v="1013697588.2336868"/>
    <n v="1020233745.2550608"/>
    <n v="1067946130.3270885"/>
    <n v="1082941302.665535"/>
    <n v="1159738545.693342"/>
    <n v="1186793864.4466245"/>
    <n v="1200207036.9964583"/>
    <n v="1200196629.1031122"/>
    <n v="1222867622.7843347"/>
    <n v="1300385612.4263618"/>
    <n v="1305652006.459507"/>
    <n v="1376581799.6134293"/>
    <n v="1428977736.6912186"/>
    <n v="1446257441.6191423"/>
    <n v="1410605202.9619505"/>
    <n v="1347429290.3508999"/>
    <n v="1326618707.6052995"/>
    <n v="1428977736.6912184"/>
    <n v="1312851666.6816969"/>
    <n v="1437332673.0748298"/>
    <n v="1493779882.6376028"/>
    <n v="1547227016.943352"/>
    <n v="1470809662.0226791"/>
    <n v="1495962938.2669551"/>
    <n v="1525542171.1566761"/>
    <n v="1492780724.8763738"/>
    <n v="1484532469.3995605"/>
    <n v="1389164942.6689088"/>
    <n v="1393822474.9413052"/>
    <n v="1462119071.078655"/>
    <n v="1567392310.3014922"/>
    <n v="1504695160.784364"/>
    <n v="1584443041.5758007"/>
    <n v="1658914120.4407461"/>
    <n v="1718634612.4608791"/>
    <n v="1675850364.8882473"/>
    <n v="1750672710.153625"/>
    <n v="1813986527.3515117"/>
    <n v="1716076872.6710663"/>
    <n v="1818953694.4509559"/>
    <n v="1835473623.1646113"/>
    <n v="1923045637.7790065"/>
    <n v="2011650635.8080056"/>
    <n v="2052972574.365505"/>
    <n v="2229266675.8090434"/>
    <n v="2332499967.936038"/>
    <n v="2430339369.3363972"/>
    <n v="2553162918.7141576"/>
    <n v="1624016454.0511496"/>
    <n v="1625333052.5594358"/>
    <n v="1695825714.1928205"/>
    <n v="1776382808.6919196"/>
    <n v="1856804600.5775187"/>
    <n v="1927167163.5440764"/>
    <n v="1986909345.6139426"/>
    <n v="2004791529.6620207"/>
    <n v="2024497026.4904802"/>
    <n v="2034662228.5795717"/>
    <n v="2052368906.1435351"/>
  </r>
  <r>
    <x v="34"/>
    <s v="CAN"/>
    <s v="PIB (US$ a precios constantes de 2015)"/>
    <s v="NY.GDP.MKTP.KD"/>
    <n v="276385631126.18011"/>
    <n v="285128514810.57184"/>
    <n v="306307395942.70721"/>
    <n v="322533847198.72668"/>
    <n v="344001699230.72974"/>
    <n v="365732975280.79376"/>
    <n v="390455390106.95306"/>
    <n v="402424490928.18927"/>
    <n v="422579012400.91785"/>
    <n v="443991228080.41852"/>
    <n v="456950058847.45154"/>
    <n v="475314173140.69324"/>
    <n v="501549947271.56915"/>
    <n v="535297444607.43896"/>
    <n v="553271533579.33606"/>
    <n v="561821810372.28284"/>
    <n v="594909046440.39246"/>
    <n v="615938050290.88635"/>
    <n v="638949350316.31018"/>
    <n v="662751487775.80457"/>
    <n v="677180907601.95337"/>
    <n v="700307077493.49207"/>
    <n v="678134303092.57056"/>
    <n v="695509823673.7312"/>
    <n v="736534953481.40479"/>
    <n v="771429628504.86682"/>
    <n v="787795360275.09192"/>
    <n v="819874511491.84399"/>
    <n v="856037856755.4137"/>
    <n v="876046284221.59888"/>
    <n v="877824201432.1178"/>
    <n v="859468413002.86328"/>
    <n v="867121689189.49463"/>
    <n v="890167242008.60352"/>
    <n v="930171796213.96008"/>
    <n v="955122057570.81689"/>
    <n v="971253698607.85181"/>
    <n v="1012824977566.9785"/>
    <n v="1052253104690.2238"/>
    <n v="1106349473421.6594"/>
    <n v="1163199674646.7644"/>
    <n v="1185010810019.4507"/>
    <n v="1220552310131.9348"/>
    <n v="1242600185625.168"/>
    <n v="1281025904373.6858"/>
    <n v="1322152656328.6985"/>
    <n v="1357030300358.2866"/>
    <n v="1384848127059.2202"/>
    <n v="1398632992699.7959"/>
    <n v="1357861634788.5347"/>
    <n v="1399830508747.1685"/>
    <n v="1443745912933.406"/>
    <n v="1469093201563.9077"/>
    <n v="1503261570659.634"/>
    <n v="1546457292386.5281"/>
    <n v="1556508816217.1401"/>
    <n v="1572673953080.0439"/>
    <n v="1620386284372.8096"/>
    <n v="1664832887596.1296"/>
    <n v="1696605089927.3782"/>
    <n v="1611126164920.1387"/>
    <n v="1696305710720.0371"/>
    <n v="1761102321572.6389"/>
    <n v="1779875574624.5852"/>
  </r>
  <r>
    <x v="35"/>
    <s v="CEB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4573918756.67029"/>
    <n v="663673146868.28052"/>
    <n v="630501542547.83899"/>
    <n v="631758457831.1322"/>
    <n v="655040724299.125"/>
    <n v="691016277407.46436"/>
    <n v="722436217545.38623"/>
    <n v="739150875928.42432"/>
    <n v="758960864070.71912"/>
    <n v="773433612609.93567"/>
    <n v="804037285349.28625"/>
    <n v="828806841964.224"/>
    <n v="858766088107.02917"/>
    <n v="893864758338.10815"/>
    <n v="946066080243.15918"/>
    <n v="993549343404.65454"/>
    <n v="1059071549323.5896"/>
    <n v="1127201246122.002"/>
    <n v="1171563551948.3274"/>
    <n v="1130482105149.6831"/>
    <n v="1146718858142.1775"/>
    <n v="1187016954038.0317"/>
    <n v="1196818776460.2964"/>
    <n v="1204810130809.8633"/>
    <n v="1243553846125.7761"/>
    <n v="1293623329358.5161"/>
    <n v="1329239273076.6138"/>
    <n v="1397047410066.9202"/>
    <n v="1466150965711.063"/>
    <n v="1523455796078.678"/>
    <n v="1471392059270.9146"/>
    <n v="1566052576985.1399"/>
    <n v="1632563975135.5964"/>
    <n v="1640917854713.5828"/>
  </r>
  <r>
    <x v="36"/>
    <s v="CHE"/>
    <s v="PIB (US$ a precios constantes de 2015)"/>
    <s v="NY.GDP.MKTP.KD"/>
    <n v="212618998359.32208"/>
    <n v="229859575994.39124"/>
    <n v="240869714794.54059"/>
    <n v="252622227723.54126"/>
    <n v="265900938176.60004"/>
    <n v="271496969441.22116"/>
    <n v="278179751840.31079"/>
    <n v="286680708542.12555"/>
    <n v="296966886912.32269"/>
    <n v="313694770685.15411"/>
    <n v="333700361441.91168"/>
    <n v="347300127583.61389"/>
    <n v="358415498059.66248"/>
    <n v="369346839611.99188"/>
    <n v="374720496445.84161"/>
    <n v="347428948661.48853"/>
    <n v="342552171792.04083"/>
    <n v="350888699908.84955"/>
    <n v="352324127799.85468"/>
    <n v="361102326996.13184"/>
    <n v="377720174344.81567"/>
    <n v="383768742444.18933"/>
    <n v="378743607542.59229"/>
    <n v="381164080521.66638"/>
    <n v="392631235669.91138"/>
    <n v="407054920540.00812"/>
    <n v="414620576468.82623"/>
    <n v="421194296070.30566"/>
    <n v="434999343626.19495"/>
    <n v="453838270018.91272"/>
    <n v="470515127240.6557"/>
    <n v="466206071277.77728"/>
    <n v="466002185360.3241"/>
    <n v="465415099988.27972"/>
    <n v="471324743945.93372"/>
    <n v="473591186505.1665"/>
    <n v="475823127148.12787"/>
    <n v="486583035615.46375"/>
    <n v="501326351582.97369"/>
    <n v="509661911268.6908"/>
    <n v="529837997852.02496"/>
    <n v="538186453673.23315"/>
    <n v="537792409245.14105"/>
    <n v="537618172697.6098"/>
    <n v="552143052382.24219"/>
    <n v="567325324289.26111"/>
    <n v="590436050103.2384"/>
    <n v="613559744788.94751"/>
    <n v="630788401993.24121"/>
    <n v="616296829272.35303"/>
    <n v="636285784211.75415"/>
    <n v="647822333890.06396"/>
    <n v="655461803595.11914"/>
    <n v="667208623354.64478"/>
    <n v="682887233860.61646"/>
    <n v="694118186379.62781"/>
    <n v="708477337578.72241"/>
    <n v="718132463597.49939"/>
    <n v="738674253452.24866"/>
    <n v="747109782866.38879"/>
    <n v="731108654673.33398"/>
    <n v="770529214794.41357"/>
    <n v="790318933740.32581"/>
    <n v="795978145781.87048"/>
  </r>
  <r>
    <x v="37"/>
    <s v="CHI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8"/>
    <s v="CHL"/>
    <s v="PIB (US$ a precios constantes de 2015)"/>
    <s v="NY.GDP.MKTP.KD"/>
    <n v="26775250058.201328"/>
    <n v="28179684721.497082"/>
    <n v="29314392034.921658"/>
    <n v="31026393610.922905"/>
    <n v="31819806920.6936"/>
    <n v="32122181797.095989"/>
    <n v="35731508026.09742"/>
    <n v="37023559304.171806"/>
    <n v="38353450489.44828"/>
    <n v="39863802957.397232"/>
    <n v="40592898746.550613"/>
    <n v="44417840219.410446"/>
    <n v="43964801437.895897"/>
    <n v="41753702384.350319"/>
    <n v="42748337927.239037"/>
    <n v="37228629336.503029"/>
    <n v="38655447829.579559"/>
    <n v="42692888123.764267"/>
    <n v="45980711669.092697"/>
    <n v="49851508074.729691"/>
    <n v="53832958966.333992"/>
    <n v="57345758918.08799"/>
    <n v="51029522091.787994"/>
    <n v="48469156376.32872"/>
    <n v="50458177022.741463"/>
    <n v="52481507638.678413"/>
    <n v="55303801645.744041"/>
    <n v="58876686345.966972"/>
    <n v="63201243989.833"/>
    <n v="69472945426.756454"/>
    <n v="71788871549.583252"/>
    <n v="77391556631.47673"/>
    <n v="86033645570.067825"/>
    <n v="91702216494.850006"/>
    <n v="96315019535.275406"/>
    <n v="104919125196.92184"/>
    <n v="112056685776.98587"/>
    <n v="120339623821.76141"/>
    <n v="125370887061.40733"/>
    <n v="125027832950.76204"/>
    <n v="131243743560.34839"/>
    <n v="135383217068.29764"/>
    <n v="139719269580.06955"/>
    <n v="146318553367.33331"/>
    <n v="156084225513.21933"/>
    <n v="165194933110.73148"/>
    <n v="175189211413.9758"/>
    <n v="184243394524.54678"/>
    <n v="191225100455.4415"/>
    <n v="189087132634.08609"/>
    <n v="200151851754.46994"/>
    <n v="212609096424.81433"/>
    <n v="225695909225.26212"/>
    <n v="233163076989.91052"/>
    <n v="237342873662.24182"/>
    <n v="242450355827.82703"/>
    <n v="246700604504.1716"/>
    <n v="250050047208.95398"/>
    <n v="260027117795.38467"/>
    <n v="261676645409.82843"/>
    <n v="245600606661.89395"/>
    <n v="273436873982.62595"/>
    <n v="279066228503.41211"/>
    <n v="279676771459.22888"/>
  </r>
  <r>
    <x v="39"/>
    <s v="CHN"/>
    <s v="PIB (US$ a precios constantes de 2015)"/>
    <s v="NY.GDP.MKTP.KD"/>
    <n v="158907448897.88574"/>
    <n v="115573387577.19878"/>
    <n v="109124392561.71411"/>
    <n v="120364204991.72792"/>
    <n v="142246417451.66986"/>
    <n v="166357185215.36221"/>
    <n v="184074225438.14856"/>
    <n v="173453142622.91165"/>
    <n v="166341563798.76901"/>
    <n v="194519824699.74039"/>
    <n v="232062150860.40027"/>
    <n v="248445738707.75958"/>
    <n v="257911521353.0567"/>
    <n v="277925455412.18591"/>
    <n v="284345533440.42261"/>
    <n v="309140463949.32355"/>
    <n v="304286958660.11542"/>
    <n v="327321481434.85614"/>
    <n v="364393840371.87964"/>
    <n v="392056159908.42975"/>
    <n v="422770408019.57434"/>
    <n v="444385648943.32538"/>
    <n v="484456409125.22168"/>
    <n v="536633345444.07324"/>
    <n v="618156214897.26367"/>
    <n v="701178782692.4657"/>
    <n v="763934015643.38684"/>
    <n v="852989071904.2168"/>
    <n v="948716580689.19287"/>
    <n v="988622772158.83887"/>
    <n v="1027379269906.4396"/>
    <n v="1122543213961.2842"/>
    <n v="1282219705619.7678"/>
    <n v="1460239618602.0059"/>
    <n v="1650608234052.8538"/>
    <n v="1831415106374.645"/>
    <n v="2013138309684.4414"/>
    <n v="2199087464269.0137"/>
    <n v="2371626806476.0879"/>
    <n v="2553332587278.4253"/>
    <n v="2770112908903.5991"/>
    <n v="3001022138034.2393"/>
    <n v="3275124420038.4321"/>
    <n v="3603882407613.8516"/>
    <n v="3968365429214.8003"/>
    <n v="4420544471398.7217"/>
    <n v="4982879973774.7852"/>
    <n v="5691986693310.7256"/>
    <n v="6241302053216.7539"/>
    <n v="6827904909100.2236"/>
    <n v="7554112071638.1963"/>
    <n v="8275592638196.9951"/>
    <n v="8926363432826.2969"/>
    <n v="9619598215288.4805"/>
    <n v="10333926843443.777"/>
    <n v="11061572618578.693"/>
    <n v="11819153423353.85"/>
    <n v="12640253743744.424"/>
    <n v="13493442283300.77"/>
    <n v="14296369668065.166"/>
    <n v="14616413683019.543"/>
    <n v="15851276922873.055"/>
    <n v="16325084918823.803"/>
    <n v="17173989334581.701"/>
  </r>
  <r>
    <x v="40"/>
    <s v="CIV"/>
    <s v="PIB (US$ a precios constantes de 2015)"/>
    <s v="NY.GDP.MKTP.KD"/>
    <n v="5492745889.8149185"/>
    <n v="6038315904.9061956"/>
    <n v="6112405708.352541"/>
    <n v="6998115047.4461651"/>
    <n v="8230699197.1934862"/>
    <n v="7974752907.8830881"/>
    <n v="8898018736.2598476"/>
    <n v="9307163143.6156044"/>
    <n v="10475049116.162785"/>
    <n v="11474286967.677691"/>
    <n v="12664747894.41666"/>
    <n v="13862407213.56633"/>
    <n v="14449705424.807068"/>
    <n v="15307901973.380775"/>
    <n v="15970333193.068853"/>
    <n v="17288346643.979969"/>
    <n v="19521378206.897388"/>
    <n v="20949261442.04948"/>
    <n v="23234711409.583782"/>
    <n v="23791045073.333443"/>
    <n v="21184094378.321995"/>
    <n v="21925643370.811653"/>
    <n v="21969674962.351643"/>
    <n v="21112804814.630039"/>
    <n v="20542492760.351303"/>
    <n v="21467156206.371277"/>
    <n v="22166845697.292007"/>
    <n v="22089489409.933838"/>
    <n v="22340532915.165699"/>
    <n v="22999132929.876503"/>
    <n v="22747083497.322819"/>
    <n v="22756392780.306595"/>
    <n v="22700739607.151691"/>
    <n v="22657044066.134167"/>
    <n v="22840839521.074574"/>
    <n v="24468419439.156643"/>
    <n v="26359663691.904835"/>
    <n v="28903065478.585991"/>
    <n v="30135465005.63324"/>
    <n v="30487103687.180439"/>
    <n v="30406072178.226772"/>
    <n v="29751121585.554298"/>
    <n v="28938759334.224148"/>
    <n v="27571152176.356308"/>
    <n v="28449303912.454056"/>
    <n v="28732677632.166897"/>
    <n v="29541668752.636906"/>
    <n v="29867049486.223133"/>
    <n v="31295490700.862289"/>
    <n v="32423167866.681831"/>
    <n v="34643522418.935638"/>
    <n v="32783010325.347122"/>
    <n v="35281210700.942528"/>
    <n v="39077544167.605431"/>
    <n v="42739891584.486206"/>
    <n v="45815005169.265106"/>
    <n v="49101205368.910004"/>
    <n v="52739979047.028267"/>
    <n v="55294253263.753761"/>
    <n v="59010785541.056732"/>
    <n v="59423700880.592537"/>
    <n v="63620992438.481842"/>
    <n v="67576850897.493591"/>
    <n v="71993628609.493469"/>
  </r>
  <r>
    <x v="41"/>
    <s v="CMR"/>
    <s v="PIB (US$ a precios constantes de 2015)"/>
    <s v="NY.GDP.MKTP.KD"/>
    <n v="4827329401.9146624"/>
    <n v="4884469573.7294664"/>
    <n v="5033033600.1324663"/>
    <n v="5221397415.2772131"/>
    <n v="5406608719.9026604"/>
    <n v="5516149516.7298765"/>
    <n v="5770717368.8073244"/>
    <n v="5141012904.5801067"/>
    <n v="5467278232.8687143"/>
    <n v="5735255755.9882278"/>
    <n v="5912593777.3502913"/>
    <n v="6118334765.1878214"/>
    <n v="6281929448.9612751"/>
    <n v="6618369537.0160685"/>
    <n v="7328802680.3250484"/>
    <n v="8152930849.2934589"/>
    <n v="7704916015.6770506"/>
    <n v="8763561577.1903763"/>
    <n v="10691808462.446768"/>
    <n v="11337071802.187138"/>
    <n v="11114265274.658419"/>
    <n v="13012879895.813164"/>
    <n v="13990954313.545856"/>
    <n v="14951689440.750196"/>
    <n v="16069264314.496294"/>
    <n v="17364955075.556046"/>
    <n v="18540851327.9566"/>
    <n v="18142844102.99543"/>
    <n v="16723414750.595366"/>
    <n v="16419195682.582483"/>
    <n v="15416689238.297834"/>
    <n v="14829529308.66255"/>
    <n v="14369813423.944647"/>
    <n v="13229990256.529461"/>
    <n v="13478291934.236982"/>
    <n v="13868353888.463385"/>
    <n v="14452915010.814346"/>
    <n v="15107243821.723412"/>
    <n v="15821141893.09515"/>
    <n v="16534881735.193192"/>
    <n v="17168567485.080212"/>
    <n v="17910981186.096863"/>
    <n v="18712860619.975864"/>
    <n v="19733301669.156601"/>
    <n v="21124275033.392746"/>
    <n v="21594980960.880005"/>
    <n v="22417659743.947945"/>
    <n v="23387803923.265415"/>
    <n v="24053813244.360149"/>
    <n v="24674221649.994785"/>
    <n v="25389533435.396786"/>
    <n v="26247499414.46991"/>
    <n v="27461703152.465485"/>
    <n v="28833560541.638691"/>
    <n v="30482787769.37542"/>
    <n v="32210233021.404896"/>
    <n v="33671222914.445766"/>
    <n v="34863580364.141205"/>
    <n v="36242614249.642296"/>
    <n v="37502066833.844055"/>
    <n v="37599547049.690697"/>
    <n v="38854942335.72039"/>
    <n v="40247035779.575378"/>
    <n v="41854256684.235855"/>
  </r>
  <r>
    <x v="42"/>
    <s v="COD"/>
    <s v="PIB (US$ a precios constantes de 2015)"/>
    <s v="NY.GDP.MKTP.KD"/>
    <n v="19168015351.980629"/>
    <n v="17088021918.368578"/>
    <n v="20710801756.546898"/>
    <n v="21790660916.877834"/>
    <n v="21258920074.325745"/>
    <n v="21470945657.203995"/>
    <n v="22925706424.348537"/>
    <n v="22699718872.704506"/>
    <n v="23683229243.638847"/>
    <n v="25892599199.978184"/>
    <n v="25829147683.177898"/>
    <n v="27380192668.201851"/>
    <n v="27421573863.067368"/>
    <n v="29652942980.972843"/>
    <n v="30581253826.713142"/>
    <n v="29057808604.286209"/>
    <n v="27515128940.799965"/>
    <n v="27724462281.240028"/>
    <n v="26242508947.858669"/>
    <n v="26355374898.522022"/>
    <n v="26933852428.253281"/>
    <n v="27566939113.866909"/>
    <n v="27440771406.066669"/>
    <n v="27828153788.093937"/>
    <n v="29370132388.439857"/>
    <n v="29507540832.113289"/>
    <n v="30899473396.729198"/>
    <n v="31726232824.150764"/>
    <n v="31875467102.209011"/>
    <n v="31471907548.357983"/>
    <n v="29404734879.051197"/>
    <n v="26928547011.702545"/>
    <n v="24101047269.138588"/>
    <n v="20854865032.240208"/>
    <n v="20041525962.687042"/>
    <n v="20181816409.898792"/>
    <n v="19975321585.734196"/>
    <n v="18853298464.023151"/>
    <n v="18547091854.443409"/>
    <n v="17755104912.178986"/>
    <n v="16528062516.726246"/>
    <n v="16180944606.213261"/>
    <n v="16657920857.69244"/>
    <n v="17587070083.915531"/>
    <n v="18772152630.071262"/>
    <n v="19923852569.065376"/>
    <n v="20983996692.923695"/>
    <n v="22297485299.994221"/>
    <n v="23685703159.348988"/>
    <n v="24361945145.794193"/>
    <n v="26093586500.169884"/>
    <n v="27887434695.458286"/>
    <n v="29863789011.157784"/>
    <n v="32396822644.976864"/>
    <n v="35464895084.478706"/>
    <n v="37917706497.179283"/>
    <n v="38827503534.075623"/>
    <n v="40274584268.021027"/>
    <n v="42619016590.659325"/>
    <n v="44487659679.018784"/>
    <n v="45259708653.51162"/>
    <n v="48065880294.850365"/>
    <n v="52355494607.56282"/>
    <n v="56837576516.868828"/>
  </r>
  <r>
    <x v="43"/>
    <s v="COG"/>
    <s v="PIB (US$ a precios constantes de 2015)"/>
    <s v="NY.GDP.MKTP.KD"/>
    <n v="1260529281.302418"/>
    <n v="1365792636.8634882"/>
    <n v="1436845387.2365429"/>
    <n v="1378950570.3301482"/>
    <n v="1431582304.2419107"/>
    <n v="1484213965.7786825"/>
    <n v="1504384173.2769196"/>
    <n v="1536221035.161608"/>
    <n v="1653455074.103107"/>
    <n v="1778266546.954241"/>
    <n v="1891337095.1871266"/>
    <n v="2037973138.2796855"/>
    <n v="2213596509.6751428"/>
    <n v="2395801820.897707"/>
    <n v="2584723272.0781455"/>
    <n v="2784563654.7407389"/>
    <n v="2810078242.5851769"/>
    <n v="2558479910.942934"/>
    <n v="2721192760.6115737"/>
    <n v="2988229521.7671323"/>
    <n v="3515251773.440599"/>
    <n v="4134629380.0480957"/>
    <n v="5110306815.6160212"/>
    <n v="5409462277.6089535"/>
    <n v="5786833455.4376888"/>
    <n v="5718221236.4515619"/>
    <n v="5325863974.6061935"/>
    <n v="5335949916.8719206"/>
    <n v="5430196848.8152304"/>
    <n v="5571375261.576622"/>
    <n v="5627089212.8829441"/>
    <n v="5761878676.4146404"/>
    <n v="5912375954.4542284"/>
    <n v="5854453399.9905767"/>
    <n v="5532863840.2491274"/>
    <n v="5753366411.6822481"/>
    <n v="6000213536.5801458"/>
    <n v="5962723473.2420006"/>
    <n v="6185583409.5721998"/>
    <n v="6025859314.4731712"/>
    <n v="6482377234.7838602"/>
    <n v="6728876234.6228857"/>
    <n v="7037184600.2647982"/>
    <n v="7094415494.6019335"/>
    <n v="7341062187.0252199"/>
    <n v="7910417276.680872"/>
    <n v="8542162055.9316654"/>
    <n v="7977183901.3680611"/>
    <n v="8480255108.8780804"/>
    <n v="9467126892.0967579"/>
    <n v="10407332392.436281"/>
    <n v="10636909752.838982"/>
    <n v="11694979455.591438"/>
    <n v="11611660392.809931"/>
    <n v="12383378937.620058"/>
    <n v="12434793867.722769"/>
    <n v="11354801749.156061"/>
    <n v="10719526285.032072"/>
    <n v="10472514332.635504"/>
    <n v="10590275355.339531"/>
    <n v="9926500406.9209309"/>
    <n v="10027261670.094643"/>
    <n v="10175199490.063332"/>
    <n v="10369226732.875879"/>
  </r>
  <r>
    <x v="44"/>
    <s v="COL"/>
    <s v="PIB (US$ a precios constantes de 2015)"/>
    <s v="NY.GDP.MKTP.KD"/>
    <n v="30607351920.84861"/>
    <n v="32165026473.276783"/>
    <n v="33905762200.137997"/>
    <n v="35020145447.635284"/>
    <n v="37179817268.797844"/>
    <n v="38518294925.195419"/>
    <n v="40535396289.087494"/>
    <n v="42211479864.709419"/>
    <n v="44715936774.115112"/>
    <n v="47444734555.517738"/>
    <n v="50390007345.5411"/>
    <n v="53393618595.524704"/>
    <n v="57488453984.91021"/>
    <n v="61353376858.800003"/>
    <n v="64878592920.43325"/>
    <n v="66385888256.798187"/>
    <n v="69524857841.278961"/>
    <n v="72416052846.121765"/>
    <n v="78549620712.742126"/>
    <n v="82774898275.661942"/>
    <n v="86158201122.72995"/>
    <n v="88119913721.780594"/>
    <n v="88955661300.655914"/>
    <n v="90355784303.22905"/>
    <n v="93383320875.491058"/>
    <n v="96284839824.191498"/>
    <n v="101892542204.38252"/>
    <n v="107363083659.42535"/>
    <n v="111726505380.41536"/>
    <n v="115540955654.07385"/>
    <n v="120488417446.26038"/>
    <n v="122900122761.67126"/>
    <n v="127871346008.23766"/>
    <n v="134757742185.31152"/>
    <n v="142593449287.22205"/>
    <n v="150011784497.79153"/>
    <n v="153095808839.25269"/>
    <n v="158347444690.97055"/>
    <n v="159249683235.26233"/>
    <n v="152554802278.49942"/>
    <n v="157016818928.93024"/>
    <n v="159651401476.81915"/>
    <n v="163649041384.44641"/>
    <n v="170061255792.91046"/>
    <n v="179130660092.78244"/>
    <n v="187780451739.37601"/>
    <n v="200393418124.05493"/>
    <n v="213896316785.02258"/>
    <n v="220919487240.84869"/>
    <n v="223437193184.79175"/>
    <n v="233479933032.17288"/>
    <n v="249701866578.27676"/>
    <n v="259471791121.28741"/>
    <n v="272793056063.56992"/>
    <n v="285066097496.81396"/>
    <n v="293492370193.16571"/>
    <n v="299618678572.19098"/>
    <n v="303691577641.58282"/>
    <n v="311479214511.79462"/>
    <n v="321405606655.84125"/>
    <n v="298309675728.09247"/>
    <n v="330530695024.88531"/>
    <n v="354622693594.66052"/>
    <n v="356793627488.70349"/>
  </r>
  <r>
    <x v="45"/>
    <s v="COM"/>
    <s v="PIB (US$ a precios constantes de 2015)"/>
    <s v="NY.GDP.MKTP.KD"/>
    <m/>
    <m/>
    <m/>
    <m/>
    <m/>
    <m/>
    <m/>
    <m/>
    <m/>
    <m/>
    <m/>
    <m/>
    <m/>
    <m/>
    <m/>
    <m/>
    <m/>
    <m/>
    <m/>
    <m/>
    <n v="396529307.99416304"/>
    <n v="411854884.04147124"/>
    <n v="438144886.91052485"/>
    <n v="459269612.73885173"/>
    <n v="478146971.57887053"/>
    <n v="489048534.98835558"/>
    <n v="498182064.9280178"/>
    <n v="506341211.97764432"/>
    <n v="519948521.42316914"/>
    <n v="503412824.6898489"/>
    <n v="529042761.73016864"/>
    <n v="500497533.94627446"/>
    <n v="543194887.41528332"/>
    <n v="559523658.74991322"/>
    <n v="529998809.45829505"/>
    <n v="549132860.56504369"/>
    <n v="542039772.2149992"/>
    <n v="563884807.97547615"/>
    <n v="571116719.69426239"/>
    <n v="582107339.60444963"/>
    <n v="645253637.21998656"/>
    <n v="660306805.14749992"/>
    <n v="675658574.28324997"/>
    <n v="689873563.38062501"/>
    <n v="703116788.89680862"/>
    <n v="723068064.3629421"/>
    <n v="742207354.0873791"/>
    <n v="748145327.23713934"/>
    <n v="777806380.58865511"/>
    <n v="803013068.75146115"/>
    <n v="833349029.45948362"/>
    <n v="867878902.28584719"/>
    <n v="895376863.07760012"/>
    <n v="935366608.18198097"/>
    <n v="955071579.82219148"/>
    <n v="966029600.86222744"/>
    <n v="998106097.53582633"/>
    <n v="1036191459.4769152"/>
    <n v="1073934227.0842133"/>
    <n v="1092843848.7370584"/>
    <n v="1090706717.9807665"/>
    <n v="1113744577.0355103"/>
    <n v="1140337216.681937"/>
    <n v="1171138792.0164423"/>
  </r>
  <r>
    <x v="46"/>
    <s v="CPV"/>
    <s v="PIB (US$ a precios constantes de 2015)"/>
    <s v="NY.GDP.MKTP.KD"/>
    <m/>
    <m/>
    <m/>
    <m/>
    <m/>
    <m/>
    <m/>
    <m/>
    <m/>
    <m/>
    <m/>
    <m/>
    <m/>
    <m/>
    <m/>
    <m/>
    <m/>
    <m/>
    <m/>
    <m/>
    <n v="188081994.53451514"/>
    <n v="203977861.68800303"/>
    <n v="209740297.64287195"/>
    <n v="229709146.51175442"/>
    <n v="238399665.30423474"/>
    <n v="259002370.8737717"/>
    <n v="266439508.5018402"/>
    <n v="277920556.72149146"/>
    <n v="294587049.28833413"/>
    <n v="311372470.19733238"/>
    <n v="313527702.86048007"/>
    <n v="317930092.63486147"/>
    <n v="352704163.84072334"/>
    <n v="383418741.33313388"/>
    <n v="456968584.43228257"/>
    <n v="521911297.41469628"/>
    <n v="581130092.02310336"/>
    <n v="645742611.60766244"/>
    <n v="726572059.75741327"/>
    <n v="808112687.72747099"/>
    <n v="923550525.28988707"/>
    <n v="944160982.56555903"/>
    <n v="993737848.22592247"/>
    <n v="1035238917.786296"/>
    <n v="1140802982.1676345"/>
    <n v="1219660508.684479"/>
    <n v="1317035160.0100513"/>
    <n v="1516838454.6371431"/>
    <n v="1623608884.7958338"/>
    <n v="1599196517.1566844"/>
    <n v="1628564468.2422805"/>
    <n v="1692481034.5440664"/>
    <n v="1710821579.6128569"/>
    <n v="1721636311.1576202"/>
    <n v="1733630380.444896"/>
    <n v="1749857620.3532875"/>
    <n v="1824764034.9525554"/>
    <n v="1907814790.7283316"/>
    <n v="1978536809.778538"/>
    <n v="2116002111.0965829"/>
    <n v="1675762033.5138175"/>
    <n v="1793627260.6000016"/>
    <n v="2106419343.418339"/>
    <n v="2214881716.0906777"/>
  </r>
  <r>
    <x v="47"/>
    <s v="CRI"/>
    <s v="PIB (US$ a precios constantes de 2015)"/>
    <s v="NY.GDP.MKTP.KD"/>
    <n v="4791476273.0069323"/>
    <n v="4881521363.3093004"/>
    <n v="5147192860.9686127"/>
    <n v="5502293755.8593988"/>
    <n v="5703625342.7722111"/>
    <n v="6170782350.3444967"/>
    <n v="6600843859.0466347"/>
    <n v="6973799848.8907089"/>
    <n v="7564711134.6374702"/>
    <n v="7980149936.3841991"/>
    <n v="8578911306.9119158"/>
    <n v="9160433275.3788643"/>
    <n v="9909577643.0648918"/>
    <n v="10673498640.884863"/>
    <n v="11265333466.059589"/>
    <n v="11501913472.808245"/>
    <n v="12136538956.242699"/>
    <n v="13217233964.476645"/>
    <n v="14045648796.221653"/>
    <n v="14739380800.548635"/>
    <n v="14850205527.266724"/>
    <n v="14514345036.114424"/>
    <n v="13456892435.86627"/>
    <n v="13842162284.274216"/>
    <n v="14952872322.668413"/>
    <n v="15060772507.924068"/>
    <n v="15894574652.879957"/>
    <n v="16651876951.882383"/>
    <n v="17223393910.355373"/>
    <n v="18199267197.974632"/>
    <n v="18845898693.615887"/>
    <n v="19272881737.49868"/>
    <n v="21046199579.266205"/>
    <n v="22539888610.479099"/>
    <n v="23558472573.28516"/>
    <n v="24537080462.903332"/>
    <n v="24868443805.533958"/>
    <n v="26230281013.940914"/>
    <n v="28107138561.466976"/>
    <n v="29291801376.473701"/>
    <n v="30425018595.579762"/>
    <n v="31487207677.998375"/>
    <n v="32563086642.844349"/>
    <n v="33968893662.639259"/>
    <n v="35471881195.204445"/>
    <n v="36882479564.95137"/>
    <n v="39584746510.512856"/>
    <n v="42836685682.042648"/>
    <n v="44866362761.209229"/>
    <n v="44474474850.245163"/>
    <n v="46858459461.785118"/>
    <n v="48921712048.997139"/>
    <n v="51310359848.495575"/>
    <n v="52590433318.897392"/>
    <n v="54453244251.285622"/>
    <n v="56441920821.080627"/>
    <n v="58814921623.350204"/>
    <n v="61260269009.417427"/>
    <n v="62862779083.633484"/>
    <n v="64382494196.515465"/>
    <n v="61631202099.096008"/>
    <n v="66522107767.721741"/>
    <n v="69549856034.375595"/>
    <n v="73105190309.292496"/>
  </r>
  <r>
    <x v="48"/>
    <s v="CSS"/>
    <s v="PIB (US$ a precios constantes de 2015)"/>
    <s v="NY.GDP.MKTP.KD"/>
    <n v="7357579349.9914503"/>
    <n v="7900307907.8099108"/>
    <n v="8428676837.8155365"/>
    <n v="8485517936.6560144"/>
    <n v="9212471047.7895966"/>
    <n v="10188564841.853241"/>
    <n v="11062297166.830006"/>
    <n v="12038158962.893803"/>
    <n v="12829597414.496298"/>
    <n v="13775523162.737246"/>
    <n v="13924103942.513411"/>
    <n v="14324075561.259047"/>
    <n v="14158204899.976971"/>
    <n v="14572781096.626427"/>
    <n v="13689839991.032778"/>
    <n v="13223774317.800913"/>
    <n v="13861751515.791641"/>
    <n v="14630825152.898396"/>
    <n v="15661941572.973557"/>
    <n v="17159631077.336706"/>
    <n v="17607870519.466591"/>
    <n v="17284993122.758083"/>
    <n v="17089242134.225916"/>
    <n v="17142301808.375572"/>
    <n v="18179387190.486362"/>
    <n v="18837057507.769981"/>
    <n v="19447977328.901447"/>
    <n v="19837626454.124588"/>
    <n v="20603022873.071812"/>
    <n v="21559227850.924572"/>
    <n v="21371096447.792572"/>
    <n v="21160031395.833672"/>
    <n v="21045809370.459503"/>
    <n v="21236688956.5"/>
    <n v="21940108140.188789"/>
    <n v="22563065940.505482"/>
    <n v="23478416120.972031"/>
    <n v="24274699187.896442"/>
    <n v="25143084645.93449"/>
    <n v="26134096061.536407"/>
    <n v="27090332442.021702"/>
    <n v="27442399884.873772"/>
    <n v="28033722049.913521"/>
    <n v="28552168397.37252"/>
    <n v="29358312950.821632"/>
    <n v="30321447575.314159"/>
    <n v="31672647931.655388"/>
    <n v="32717896388.558006"/>
    <n v="32895286081.071602"/>
    <n v="32040067806.735016"/>
    <n v="32357745230.038563"/>
    <n v="32913277781.788918"/>
    <n v="33679509557.439442"/>
    <n v="33704374341.124298"/>
    <n v="34298860339.658298"/>
    <n v="34538256117.685883"/>
    <n v="34701264113.771614"/>
    <n v="35375599998.109947"/>
    <n v="36398366424.968224"/>
    <n v="36771323459.819702"/>
    <n v="33390765519.043797"/>
    <n v="36878107871.934685"/>
    <n v="45167649111.170105"/>
    <n v="50911102458.134933"/>
  </r>
  <r>
    <x v="49"/>
    <s v="CUB"/>
    <s v="PIB (US$ a precios constantes de 2015)"/>
    <s v="NY.GDP.MKTP.KD"/>
    <m/>
    <m/>
    <m/>
    <m/>
    <m/>
    <m/>
    <m/>
    <m/>
    <m/>
    <m/>
    <n v="23120654813.226868"/>
    <n v="25105299224.961365"/>
    <n v="26317053148.530323"/>
    <n v="27220909321.8834"/>
    <n v="27488896946.333027"/>
    <n v="30093861942.67968"/>
    <n v="31727344869.416035"/>
    <n v="34490638878.705093"/>
    <n v="36765640923.643318"/>
    <n v="37165718488.948982"/>
    <n v="35363388173.54068"/>
    <n v="42325850268.887383"/>
    <n v="46100569046.771523"/>
    <n v="48595287844.258766"/>
    <n v="52448756410.021774"/>
    <n v="53286192380.628746"/>
    <n v="53336975926.049728"/>
    <n v="52055729737.862213"/>
    <n v="53984675578.248703"/>
    <n v="54351816305.328995"/>
    <n v="52749217702.760857"/>
    <n v="47108903626.707474"/>
    <n v="41653408481.760582"/>
    <n v="35456139102.317978"/>
    <n v="35710334910.446037"/>
    <n v="36587809678.546646"/>
    <n v="39455836535.564896"/>
    <n v="40554060177.159309"/>
    <n v="40618600362.110168"/>
    <n v="43132386147.588715"/>
    <n v="45683563278.599503"/>
    <n v="47138598430.461617"/>
    <n v="47810239203.230843"/>
    <n v="49623557376.225014"/>
    <n v="52487103646.415344"/>
    <n v="58366528733.145714"/>
    <n v="65408954114.946609"/>
    <n v="70159041951.115723"/>
    <n v="73047369063.910004"/>
    <n v="74107509498.147736"/>
    <n v="75878940053.32103"/>
    <n v="78005296225.144562"/>
    <n v="80357078126.462173"/>
    <n v="82564971264.272919"/>
    <n v="83429902609.353012"/>
    <n v="87132800000"/>
    <n v="87579654548.890732"/>
    <n v="89164663930.970154"/>
    <n v="91169039692.771194"/>
    <n v="91020354637.147446"/>
    <n v="81054459000.258713"/>
    <n v="82070633423.424911"/>
    <n v="83527267339.325989"/>
    <m/>
  </r>
  <r>
    <x v="50"/>
    <s v="CUW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1155239.821979"/>
    <n v="2861109495.5201025"/>
    <n v="2872469966.1403346"/>
    <n v="2880748042.0171976"/>
    <n v="2886753280.2991638"/>
    <n v="2906280011.1405478"/>
    <n v="2953824854.027564"/>
    <n v="3026783241.7524362"/>
    <n v="3093010563.0260015"/>
    <n v="3076577142.9682536"/>
    <n v="3079109369.2821512"/>
    <n v="3094765331.2503757"/>
    <n v="3083966122.1167521"/>
    <n v="3064361444.8472977"/>
    <n v="3044829285.4885917"/>
    <n v="3058779217.8770947"/>
    <n v="3026120372.5829082"/>
    <n v="2987500779.2465477"/>
    <n v="2924640436.8364005"/>
    <n v="2830872595.0303025"/>
    <n v="2320226839.9560108"/>
    <n v="2417676367.2341633"/>
    <n v="2608672800.2456622"/>
    <m/>
  </r>
  <r>
    <x v="51"/>
    <s v="CYM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33485696.5069923"/>
    <n v="4780025489.1962118"/>
    <n v="4762941612.4716148"/>
    <n v="4419986821.7307205"/>
    <n v="4299956032.0084887"/>
    <n v="4350225213.8914289"/>
    <n v="4403722268.6814137"/>
    <n v="4460060434.887372"/>
    <n v="4578454046.888689"/>
    <n v="4708167255.2872686"/>
    <n v="4860710632.0844316"/>
    <n v="5015477958.0794001"/>
    <n v="5229501727.2524433"/>
    <n v="5434269999.2338142"/>
    <n v="5165012391.414216"/>
    <n v="5418352610.0538807"/>
    <n v="5697740746.843133"/>
    <m/>
  </r>
  <r>
    <x v="52"/>
    <s v="CYP"/>
    <s v="PIB (US$ a precios constantes de 2015)"/>
    <s v="NY.GDP.MKTP.KD"/>
    <m/>
    <m/>
    <m/>
    <m/>
    <m/>
    <m/>
    <m/>
    <m/>
    <m/>
    <m/>
    <m/>
    <m/>
    <m/>
    <m/>
    <m/>
    <n v="3097694991.0735211"/>
    <n v="3725482909.040833"/>
    <n v="4335046458.0057993"/>
    <n v="4672200506.9402056"/>
    <n v="5135008569.8328028"/>
    <n v="5430438178.3076305"/>
    <n v="5567122222.5943871"/>
    <n v="5902358121.6875629"/>
    <n v="6231838476.7405109"/>
    <n v="6777616308.6446104"/>
    <n v="7108536188.3423872"/>
    <n v="7371832835.0190897"/>
    <n v="7892671314.3435488"/>
    <n v="8575133068.8843918"/>
    <n v="9256635383.7769718"/>
    <n v="9941996621.9186649"/>
    <n v="10015517806.444796"/>
    <n v="10956976381.729664"/>
    <n v="11033675269.887745"/>
    <n v="11684661967.477604"/>
    <n v="12661788237.861864"/>
    <n v="12819880993.048483"/>
    <n v="13158440542.986969"/>
    <n v="13962532678.788443"/>
    <n v="14660374536.050131"/>
    <n v="15534911370.449982"/>
    <n v="16148938147.336416"/>
    <n v="16750156089.584806"/>
    <n v="17189560609.861362"/>
    <n v="18053567045.439941"/>
    <n v="18929707347.115433"/>
    <n v="19822021318.363827"/>
    <n v="20832561533.86533"/>
    <n v="21592285885.82637"/>
    <n v="21157144675.906815"/>
    <n v="21640277594.667706"/>
    <n v="21730455393.31702"/>
    <n v="20981323710.751068"/>
    <n v="19599182734.057079"/>
    <n v="19251089114.478294"/>
    <n v="19909269064.120419"/>
    <n v="21218020833.654385"/>
    <n v="22434550995.348595"/>
    <n v="23701579256.480038"/>
    <n v="25013996094.072605"/>
    <n v="24152615030.364887"/>
    <n v="26546456011.997612"/>
    <n v="27889209738.781525"/>
    <n v="28577218405.253716"/>
  </r>
  <r>
    <x v="53"/>
    <s v="CZE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142052583.97281"/>
    <n v="106187622460.49092"/>
    <n v="105649737161.44118"/>
    <n v="105715138858.6819"/>
    <n v="108790719365.82149"/>
    <n v="115863001168.75864"/>
    <n v="120805040906.55019"/>
    <n v="120178870877.5853"/>
    <n v="119750353168.3521"/>
    <n v="121407876416.48463"/>
    <n v="126265440317.08934"/>
    <n v="130107668072.56471"/>
    <n v="132150170232.22729"/>
    <n v="136886020631.12968"/>
    <n v="143476070938.564"/>
    <n v="152947812388.84094"/>
    <n v="163297687890.6449"/>
    <n v="172393922455.40936"/>
    <n v="177025133390.92438"/>
    <n v="168780486813.35437"/>
    <n v="172890126530.8197"/>
    <n v="175933614512.93262"/>
    <n v="174552528075.61365"/>
    <n v="174472402052.94989"/>
    <n v="178419147314.39609"/>
    <n v="188033050459.8811"/>
    <n v="192803983942.27353"/>
    <n v="202769490319.6301"/>
    <n v="209298846486.10199"/>
    <n v="215640347578.63721"/>
    <n v="203773728339.85474"/>
    <n v="211013852329.8949"/>
    <n v="215974795467.24942"/>
    <n v="215302078357.6402"/>
  </r>
  <r>
    <x v="54"/>
    <s v="DEU"/>
    <s v="PIB (US$ a precios constantes de 2015)"/>
    <s v="NY.GDP.MKTP.KD"/>
    <n v="909411445730.98608"/>
    <n v="948501947115.31921"/>
    <n v="992355659168.26221"/>
    <n v="1019499527829.7275"/>
    <n v="1087188892209.1948"/>
    <n v="1144202861287.2764"/>
    <n v="1176379919903.1497"/>
    <n v="1172494848923.6948"/>
    <n v="1238960921045.9521"/>
    <n v="1330868315234.9238"/>
    <n v="1398784449060.7854"/>
    <n v="1442604165833.2708"/>
    <n v="1504641069065.5234"/>
    <n v="1576525098914.3933"/>
    <n v="1590557256007.342"/>
    <n v="1576771277634.5652"/>
    <n v="1654809762173.5771"/>
    <n v="1710199854384.8569"/>
    <n v="1761651094839.9768"/>
    <n v="1834766016070.6804"/>
    <n v="1860614725103.5698"/>
    <n v="1870461852829.7"/>
    <n v="1863076506757.7241"/>
    <n v="1892371711215.9426"/>
    <n v="1945792376994.3857"/>
    <n v="1991089163868.8765"/>
    <n v="2036632127244.5132"/>
    <n v="2065188797761.2417"/>
    <n v="2141750213307.7612"/>
    <n v="2225204617485.9126"/>
    <n v="2342139255489.1016"/>
    <n v="2461781853866.6157"/>
    <n v="2509123803633.3696"/>
    <n v="2484613432320.1548"/>
    <n v="2544042703990.729"/>
    <n v="2583326450250.0649"/>
    <n v="2604143486148.0962"/>
    <n v="2650813925428.0571"/>
    <n v="2704199536146.7212"/>
    <n v="2755234843518.9165"/>
    <n v="2835481139992.3931"/>
    <n v="2883158861645.2363"/>
    <n v="2877450961484.2871"/>
    <n v="2857305447168.1777"/>
    <n v="2890881304361.6934"/>
    <n v="2912034089955.5566"/>
    <n v="3023170179485.1191"/>
    <n v="3113153483420.8184"/>
    <n v="3143035994104.0215"/>
    <n v="2964076668605.5059"/>
    <n v="3087971590525.6816"/>
    <n v="3209180426118.1699"/>
    <n v="3222610768995.5762"/>
    <n v="3236712633454.9043"/>
    <n v="3308229204839.041"/>
    <n v="3357585719351.5605"/>
    <n v="3432459876455.0488"/>
    <n v="3524457734041.3848"/>
    <n v="3559040862512.6543"/>
    <n v="3597317337494.2363"/>
    <n v="3459656323000.8223"/>
    <n v="3569113619670.709"/>
    <n v="3633579269920.3105"/>
    <n v="3622499230389.373"/>
  </r>
  <r>
    <x v="55"/>
    <s v="DJI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05985489.123518"/>
    <n v="2254700565.1153641"/>
    <n v="2424391785.4389744"/>
    <n v="2597091693.865469"/>
    <n v="2738843335.3025575"/>
    <n v="2869607134.048346"/>
    <n v="3028730597.3367143"/>
    <n v="3068599693.6066756"/>
    <n v="3207372442.6976705"/>
    <n v="3326961776.9029737"/>
    <n v="3549091358.5237513"/>
  </r>
  <r>
    <x v="56"/>
    <s v="DMA"/>
    <s v="PIB (US$ a precios constantes de 2015)"/>
    <s v="NY.GDP.MKTP.KD"/>
    <m/>
    <m/>
    <m/>
    <m/>
    <m/>
    <m/>
    <m/>
    <m/>
    <m/>
    <m/>
    <m/>
    <m/>
    <m/>
    <m/>
    <m/>
    <m/>
    <m/>
    <n v="211483620.87843299"/>
    <n v="233764997.59082779"/>
    <n v="190847414.30787429"/>
    <n v="216388871.6253415"/>
    <n v="239822338.77165991"/>
    <n v="249721445.86909363"/>
    <n v="256105120.2309804"/>
    <n v="266852947.64013225"/>
    <n v="270644749.81276923"/>
    <n v="289788417.80722749"/>
    <n v="308066999.36659467"/>
    <n v="332147435.33422023"/>
    <n v="331512580.3328197"/>
    <n v="349473877.4558208"/>
    <n v="354183964.05940396"/>
    <n v="361371847.18707287"/>
    <n v="369182589.25749362"/>
    <n v="369309888.8954283"/>
    <n v="380503164.20239913"/>
    <n v="392314752.0364812"/>
    <n v="400889291.93450999"/>
    <n v="416019763.18617481"/>
    <n v="417492801.85370469"/>
    <n v="427263049.06519139"/>
    <n v="426990264.12675995"/>
    <n v="414914984.18552744"/>
    <n v="441275102.06928724"/>
    <n v="454737038.78087968"/>
    <n v="457719487.44106364"/>
    <n v="479046723.21076316"/>
    <n v="509480429.50843269"/>
    <n v="545760826.31981647"/>
    <n v="539377658.76052034"/>
    <n v="543005698.44165874"/>
    <n v="541791805.46563876"/>
    <n v="536054228.92729706"/>
    <n v="530694004.88711888"/>
    <n v="555922065.27638817"/>
    <n v="540737037.03703701"/>
    <n v="555681105.24744034"/>
    <n v="518900602.71559888"/>
    <n v="537309039.64408171"/>
    <n v="566874380.55441117"/>
    <n v="472749937.54863685"/>
    <n v="505325005.61299342"/>
    <n v="533540061.07808709"/>
    <n v="558681739.57018638"/>
  </r>
  <r>
    <x v="57"/>
    <s v="DNK"/>
    <s v="PIB (US$ a precios constantes de 2015)"/>
    <s v="NY.GDP.MKTP.KD"/>
    <n v="82924593115.516342"/>
    <n v="88214213991.406372"/>
    <n v="93213156629.360336"/>
    <n v="93806944230.159698"/>
    <n v="102502790001.22272"/>
    <n v="107172053277.31065"/>
    <n v="110109542919.646"/>
    <n v="116199008042.65012"/>
    <n v="122651628016.22896"/>
    <n v="130635327158.75272"/>
    <n v="132721366598.94156"/>
    <n v="136709637791.28058"/>
    <n v="142081486258.60492"/>
    <n v="147896804897.97757"/>
    <n v="146236819663.33539"/>
    <n v="144106668435.12067"/>
    <n v="152644421028.95859"/>
    <n v="155499315943.77109"/>
    <n v="158961210494.93451"/>
    <n v="165111596943.1409"/>
    <n v="164314130489.67542"/>
    <n v="163219594375.44965"/>
    <n v="169233539427.68875"/>
    <n v="173626963822.70297"/>
    <n v="180860502606.80399"/>
    <n v="188101708262.8302"/>
    <n v="197326551524.82315"/>
    <n v="197828286475.17914"/>
    <n v="197801379443.83356"/>
    <n v="199077569084.28159"/>
    <n v="202014449528.00095"/>
    <n v="204829791576.42084"/>
    <n v="208838324345.41638"/>
    <n v="208860644214.54736"/>
    <n v="219998060186.39764"/>
    <n v="226658693444.80527"/>
    <n v="233232021689.22729"/>
    <n v="240837461729.20795"/>
    <n v="246179618941.13751"/>
    <n v="253437048662.4989"/>
    <n v="262932986641.72479"/>
    <n v="265097327404.03503"/>
    <n v="266333597050.53333"/>
    <n v="267372454034.6235"/>
    <n v="274506537368.94226"/>
    <n v="280920770514.86786"/>
    <n v="291913222677.84625"/>
    <n v="294567411335.29523"/>
    <n v="293059176864.38995"/>
    <n v="278680088475.41467"/>
    <n v="283894168259.7569"/>
    <n v="287689202382.58832"/>
    <n v="288340817827.02448"/>
    <n v="291032020819.87439"/>
    <n v="295744975353.14795"/>
    <n v="302673070846.85724"/>
    <n v="312497708532.46326"/>
    <n v="321315569939.82306"/>
    <n v="327708263102.5661"/>
    <n v="332602543274.04938"/>
    <n v="324538552442.95953"/>
    <n v="346751664744.81421"/>
    <n v="356222057631.88745"/>
    <n v="362953266629.80908"/>
  </r>
  <r>
    <x v="58"/>
    <s v="DOM"/>
    <s v="PIB (US$ a precios constantes de 2015)"/>
    <s v="NY.GDP.MKTP.KD"/>
    <n v="4530917998.0384655"/>
    <n v="4426106594.0874786"/>
    <n v="5180635649.1462536"/>
    <n v="5517527341.231163"/>
    <n v="5890780623.6263351"/>
    <n v="5155503169.8200979"/>
    <n v="5849606339.4279356"/>
    <n v="6044254464.0090666"/>
    <n v="6058691799.5180645"/>
    <n v="6718570934.9164448"/>
    <n v="7943143553.2680082"/>
    <n v="8806679709.4085674"/>
    <n v="9722060448.1192741"/>
    <n v="10975794392.720304"/>
    <n v="11634550915.040524"/>
    <n v="12238762621.026405"/>
    <n v="13062201580.028835"/>
    <n v="13712932241.973692"/>
    <n v="14006482881.18026"/>
    <n v="14641172536.758137"/>
    <n v="15807889290.635805"/>
    <n v="16484446003.585337"/>
    <n v="16764468710.617205"/>
    <n v="17540319328.147972"/>
    <n v="17760081282.929119"/>
    <n v="17383117345.890804"/>
    <n v="17995349556.589882"/>
    <n v="19816005179.260719"/>
    <n v="20243230984.610199"/>
    <n v="21134042221.480034"/>
    <n v="19981325537.005524"/>
    <n v="20169977001.949383"/>
    <n v="22433236554.930946"/>
    <n v="24085335186.697166"/>
    <n v="24711639228.253345"/>
    <n v="26116602360.549656"/>
    <n v="27677807175.471603"/>
    <n v="30137054814.554317"/>
    <n v="32160600643.062004"/>
    <n v="34070956123.784451"/>
    <n v="35659263104.80336"/>
    <n v="36536308517.477615"/>
    <n v="38178653364.948463"/>
    <n v="37664880865.24205"/>
    <n v="38632918879.617882"/>
    <n v="42275322011.052048"/>
    <n v="46153810301.309608"/>
    <n v="49576554587.801834"/>
    <n v="51167716220.041656"/>
    <n v="51651842211.298019"/>
    <n v="55959425617.586906"/>
    <n v="57712871132.384773"/>
    <n v="59281142164.803284"/>
    <n v="62171219427.001648"/>
    <n v="66554578678.120689"/>
    <n v="71164826836.528107"/>
    <n v="75903835172.173218"/>
    <n v="79446042998.421066"/>
    <n v="84993384865.64357"/>
    <n v="89287393475.079269"/>
    <n v="83287066903.789734"/>
    <n v="93508047621.065491"/>
    <n v="98050971574.069946"/>
    <n v="100365578190.53175"/>
  </r>
  <r>
    <x v="59"/>
    <s v="DZA"/>
    <s v="PIB (US$ a precios constantes de 2015)"/>
    <s v="NY.GDP.MKTP.KD"/>
    <n v="27287513102.004704"/>
    <n v="23574926517.969185"/>
    <n v="18934192372.543297"/>
    <n v="25431219789.995865"/>
    <n v="26916253746.438366"/>
    <n v="28586918218.71138"/>
    <n v="27213325104.728485"/>
    <n v="29785790538.970852"/>
    <n v="33001535545.845303"/>
    <n v="35784647535.950859"/>
    <n v="38956118145.113602"/>
    <n v="34541720238.043823"/>
    <n v="44014431054.134514"/>
    <n v="45692778905.959084"/>
    <n v="49117415081.879868"/>
    <n v="51595556464.07579"/>
    <n v="55922750141.497162"/>
    <n v="58863496043.683372"/>
    <n v="64287670491.783226"/>
    <n v="69094990985.125076"/>
    <n v="69641260801.053726"/>
    <n v="71730495901.005096"/>
    <n v="76321250590.271362"/>
    <n v="80442600430.489426"/>
    <n v="84947383262.746872"/>
    <n v="88090434111.565323"/>
    <n v="88442796731.377808"/>
    <n v="87823699342.140457"/>
    <n v="86945457526.61615"/>
    <n v="90771059536.331039"/>
    <n v="91497228539.249985"/>
    <n v="90399261261.389343"/>
    <n v="92026450045.483643"/>
    <n v="90093893897.252335"/>
    <n v="89283051957.953476"/>
    <n v="92675803280.950348"/>
    <n v="96475509797.893875"/>
    <n v="97536740346.710205"/>
    <n v="102511117624.46153"/>
    <n v="105791474981.3172"/>
    <n v="109811551032.01433"/>
    <n v="113105897561.98474"/>
    <n v="119213616030.6228"/>
    <n v="126962501072.82356"/>
    <n v="132675813621.22768"/>
    <n v="139840307556.30261"/>
    <n v="143895676475.62024"/>
    <n v="148356442446.05081"/>
    <n v="152065353507.15826"/>
    <n v="153890137749.29675"/>
    <n v="161276864361.72562"/>
    <n v="166115170292.62997"/>
    <n v="170101934378.98721"/>
    <n v="174524584672.94427"/>
    <n v="181680092645.15527"/>
    <n v="187493855609.34464"/>
    <n v="194806115977.96802"/>
    <n v="197728207717.83469"/>
    <n v="200496402626.14722"/>
    <n v="202300870249.60294"/>
    <n v="192185826737.12277"/>
    <n v="199488888153.13345"/>
    <n v="206670488126.99319"/>
    <n v="215143978140.21393"/>
  </r>
  <r>
    <x v="60"/>
    <s v="EAP"/>
    <s v="PIB (US$ a precios constantes de 2015)"/>
    <s v="NY.GDP.MKTP.KD"/>
    <n v="288837284903.47565"/>
    <n v="250340227711.34277"/>
    <n v="248737317499.08554"/>
    <n v="264754561619.04349"/>
    <n v="293307936719.0155"/>
    <n v="324931807360.2373"/>
    <n v="350933740305.3645"/>
    <n v="345948479515.36945"/>
    <n v="352084271845.87885"/>
    <n v="392167362415.95575"/>
    <n v="444881285491.7973"/>
    <n v="475015646845.82898"/>
    <n v="498309720211.53809"/>
    <n v="539505134657.79285"/>
    <n v="560327090445.34424"/>
    <n v="598597317092.85779"/>
    <n v="615529058124.96997"/>
    <n v="661159951676.73022"/>
    <n v="722030495702.80396"/>
    <n v="772594560270.37"/>
    <n v="830528188217.354"/>
    <n v="876809517237.94934"/>
    <n v="933016636967.32629"/>
    <n v="1005087003892.34"/>
    <n v="1104978494053.0425"/>
    <n v="1192161661158.605"/>
    <n v="1277091703724.0205"/>
    <n v="1394310381431.1069"/>
    <n v="1530105096392.3635"/>
    <n v="1618092371517.3672"/>
    <n v="1701452842983.78"/>
    <n v="1837628531111.6506"/>
    <n v="2043105964826.7383"/>
    <n v="2273292642066.8589"/>
    <n v="2521882969438.6182"/>
    <n v="2770894461502.437"/>
    <n v="3022019742641.2373"/>
    <n v="3243915434537.2803"/>
    <n v="3337786126760.7451"/>
    <n v="3550700421832.5181"/>
    <n v="3822207502176.9307"/>
    <n v="4088976459238.0786"/>
    <n v="4418553311456.9092"/>
    <n v="4813781779915.0771"/>
    <n v="5252860524732.0254"/>
    <n v="5776936189996.9189"/>
    <n v="6416934589465.5488"/>
    <n v="7218197445879.585"/>
    <n v="7840094823908.5674"/>
    <n v="8466123762433.2441"/>
    <n v="9306085900640.4023"/>
    <n v="10110406991550.219"/>
    <n v="10876806724051.344"/>
    <n v="11670675250244.246"/>
    <n v="12485793949796.521"/>
    <n v="13323235973753.023"/>
    <n v="14197868027071.922"/>
    <n v="15150217910078.484"/>
    <n v="16138768378948.488"/>
    <n v="17071894504491.416"/>
    <n v="17284768538758.889"/>
    <n v="18599059076024.578"/>
    <n v="19233959880188.598"/>
    <n v="20208837394482.074"/>
  </r>
  <r>
    <x v="61"/>
    <s v="EAR"/>
    <s v="PIB (US$ a precios constantes de 2015)"/>
    <s v="NY.GDP.MKTP.KD"/>
    <n v="1026248703119.8942"/>
    <n v="1075269708538.5763"/>
    <n v="1118402030787.8621"/>
    <n v="1177788680187.0066"/>
    <n v="1276162568373.3755"/>
    <n v="1354586209107.7307"/>
    <n v="1413234013311.0393"/>
    <n v="1493170346547.2256"/>
    <n v="1601040055518.1172"/>
    <n v="1708918781382.7722"/>
    <n v="1850586815403.3281"/>
    <n v="1957569687219.2217"/>
    <n v="2097160719573.3872"/>
    <n v="2249018490714.0327"/>
    <n v="2404983069559.2026"/>
    <n v="2464582317621.1206"/>
    <n v="2643838990724.6616"/>
    <n v="2752389671042.7568"/>
    <n v="2794590888369.2153"/>
    <n v="2912883858186.6299"/>
    <n v="3011917723708.9619"/>
    <n v="3120720721613.5156"/>
    <n v="3119593457949.0161"/>
    <n v="3125103101778.0454"/>
    <n v="3190177588047.249"/>
    <n v="3220673040849.4497"/>
    <n v="3300825899845.2461"/>
    <n v="3387774074172.231"/>
    <n v="3508480771498.3887"/>
    <n v="3589727678696.7871"/>
    <n v="3785392004246.0005"/>
    <n v="3967124554302.1377"/>
    <n v="4127592772211.4287"/>
    <n v="4268609182539.3677"/>
    <n v="4414370279436.6875"/>
    <n v="4522959510535.9502"/>
    <n v="4783032050160.7012"/>
    <n v="5013086789663.5996"/>
    <n v="5136503323088.166"/>
    <n v="5243973504125.5635"/>
    <n v="5476185999113.415"/>
    <n v="5532640212953.9229"/>
    <n v="5630749228263.3574"/>
    <n v="5930409137463.9834"/>
    <n v="6295064360246.1758"/>
    <n v="6663636390227.5186"/>
    <n v="7065320969181.3164"/>
    <n v="7466090230545.666"/>
    <n v="7723283995603.1943"/>
    <n v="7772344204821.9922"/>
    <n v="8278589122425.4482"/>
    <n v="8685763427139.7607"/>
    <n v="9049061420755.0391"/>
    <n v="9416272292113.1465"/>
    <n v="9804296400341.373"/>
    <n v="10237020101449.318"/>
    <n v="10689462003488.594"/>
    <n v="11184690654966.447"/>
    <n v="11614206226726.436"/>
    <n v="11893210924417.957"/>
    <n v="11373681249783.186"/>
    <n v="12240510945429.598"/>
    <n v="12923869261029.264"/>
    <n v="13446481909301.893"/>
  </r>
  <r>
    <x v="62"/>
    <s v="EAS"/>
    <s v="PIB (US$ a precios constantes de 2015)"/>
    <s v="NY.GDP.MKTP.KD"/>
    <n v="1191606192529.8132"/>
    <n v="1237331428290.3103"/>
    <n v="1304764506005.5767"/>
    <n v="1406065219162.8647"/>
    <n v="1552253823172.8096"/>
    <n v="1660445725547.7119"/>
    <n v="1803368641986.7715"/>
    <n v="1935858583035.6323"/>
    <n v="2116402743058.866"/>
    <n v="2359276291833.9199"/>
    <n v="2451078644585.9287"/>
    <n v="2580477535972.8496"/>
    <n v="2765308378839.7651"/>
    <n v="2977278791401.5283"/>
    <n v="3007089169048.4443"/>
    <n v="3114427259837.252"/>
    <n v="3244439837136.9731"/>
    <n v="3412613889461.938"/>
    <n v="3610290293162.3403"/>
    <n v="3823162824820.2007"/>
    <n v="3967627112587.8525"/>
    <n v="4152832436362.377"/>
    <n v="4325105063987.7954"/>
    <n v="4516601037901.6885"/>
    <n v="4794835201195.5889"/>
    <n v="5068099507642.9961"/>
    <n v="5317504929142.333"/>
    <n v="5650700211238.3643"/>
    <n v="6080304319161.3242"/>
    <n v="6394113134238.7959"/>
    <n v="6718131802496.0693"/>
    <n v="7044260776591.6406"/>
    <n v="7343233450491.9102"/>
    <n v="7651556806559.4775"/>
    <n v="8052377510203.2607"/>
    <n v="8508861422186.8008"/>
    <n v="8987120178121.6133"/>
    <n v="9351495995274.3887"/>
    <n v="9393668339867.2598"/>
    <n v="9744746532574.8887"/>
    <n v="10270596582064.084"/>
    <n v="10609427931613.412"/>
    <n v="11073829202586.035"/>
    <n v="11621712803327.297"/>
    <n v="12303633535831.418"/>
    <n v="13029461931502.736"/>
    <n v="13870354650881.797"/>
    <n v="14905994789504.207"/>
    <n v="15559615209859.416"/>
    <n v="15958088729709.527"/>
    <n v="17172434417660.037"/>
    <n v="18110370913165.492"/>
    <n v="19049041517692.766"/>
    <n v="20048175336118.672"/>
    <n v="21002208714674.137"/>
    <n v="21995274219766.668"/>
    <n v="23020051618059.047"/>
    <n v="24183294992276.93"/>
    <n v="25334215440032.582"/>
    <n v="26337506591709.676"/>
    <n v="26299398110105.855"/>
    <n v="27935519503121.688"/>
    <n v="28741746859180.543"/>
    <n v="29918772726955"/>
  </r>
  <r>
    <x v="63"/>
    <s v="ECA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n v="684179756907.89233"/>
    <n v="706724159555.93103"/>
    <n v="715502547804.69507"/>
    <n v="735231414761.78308"/>
    <n v="700776400368.2594"/>
    <n v="667681662537.48035"/>
    <n v="653985289401.37292"/>
    <n v="588528236819.47974"/>
    <n v="594002571737.58142"/>
    <n v="617441093001.4397"/>
    <n v="651605546287.79614"/>
    <n v="666357341856.37744"/>
    <n v="658446477500.00635"/>
    <n v="703081344363.70313"/>
    <n v="702145499922.26514"/>
    <n v="747055214183.27979"/>
    <n v="796371472095.4071"/>
    <n v="873090830970.20349"/>
    <n v="946955593520.42773"/>
    <n v="1024876180534.0833"/>
    <n v="1097388237593.9598"/>
    <n v="1130997574688.4543"/>
    <n v="1091960326582.7931"/>
    <n v="1169134436759.0774"/>
    <n v="1269523863781.9102"/>
    <n v="1320946537042.5425"/>
    <n v="1407943819423.4126"/>
    <n v="1455432542973.6658"/>
    <n v="1507646946545.9277"/>
    <n v="1549639951602.8794"/>
    <n v="1639851782369.4277"/>
    <n v="1697467845289.8423"/>
    <n v="1735613765851.6572"/>
    <n v="1741186364875.1924"/>
    <n v="1897899494837.4355"/>
    <n v="1956309547293.3787"/>
    <n v="2046428698058.4453"/>
  </r>
  <r>
    <x v="64"/>
    <s v="ECS"/>
    <s v="PIB (US$ a precios constantes de 2015)"/>
    <s v="NY.GDP.MKTP.KD"/>
    <n v="4841007886663.4824"/>
    <n v="5092746597527.1475"/>
    <n v="5332303768204.1543"/>
    <n v="5592430943755.2432"/>
    <n v="5920590862531.5254"/>
    <n v="6184407332417.5039"/>
    <n v="6420421153017.9463"/>
    <n v="6643210642574.1914"/>
    <n v="7002014336879.6572"/>
    <n v="7418555060576.7793"/>
    <n v="7788367004796.9561"/>
    <n v="8078761677066.5576"/>
    <n v="8456289176105.0479"/>
    <n v="8953141000300.1191"/>
    <n v="9147887337773.5801"/>
    <n v="9073829599323.8574"/>
    <n v="9473720283725.3301"/>
    <n v="9746222717134.125"/>
    <n v="10049941279132.193"/>
    <n v="10421883396994.398"/>
    <n v="10576007289113.318"/>
    <n v="10629391336357.643"/>
    <n v="10731962618734.863"/>
    <n v="10941268438557.889"/>
    <n v="11231056115760.713"/>
    <n v="11542257825765.07"/>
    <n v="11859341567438.584"/>
    <n v="12226054446482.99"/>
    <n v="12739748032645.432"/>
    <n v="13187041759526.926"/>
    <n v="13489516017708.793"/>
    <n v="13510069455827.783"/>
    <n v="13414136917577.373"/>
    <n v="13308553200730.553"/>
    <n v="13470117884492.012"/>
    <n v="13759669955710.434"/>
    <n v="14005066914389.725"/>
    <n v="14435867093119.029"/>
    <n v="14815270022141.32"/>
    <n v="15241634298511.822"/>
    <n v="15905445847669.346"/>
    <n v="16264647025891.439"/>
    <n v="16522326443743.799"/>
    <n v="16818891610715.178"/>
    <n v="17355561739589.939"/>
    <n v="17819272878179.727"/>
    <n v="18507994058725.816"/>
    <n v="19183830099905.891"/>
    <n v="19378847786143.074"/>
    <n v="18514961546429.195"/>
    <n v="19007325057036.242"/>
    <n v="19453537274096.473"/>
    <n v="19523567806632.652"/>
    <n v="19689092523458.395"/>
    <n v="20068422653416.836"/>
    <n v="20481460301210.539"/>
    <n v="20870571514436.164"/>
    <n v="21477638524381.43"/>
    <n v="21936065952377.617"/>
    <n v="22332068149674.977"/>
    <n v="21112191497351.715"/>
    <n v="22489519607940.605"/>
    <n v="23199625889137.414"/>
    <n v="23423277925071.836"/>
  </r>
  <r>
    <x v="65"/>
    <s v="ECU"/>
    <s v="PIB (US$ a precios constantes de 2015)"/>
    <s v="NY.GDP.MKTP.KD"/>
    <n v="10979942382.283611"/>
    <n v="11542600183.47224"/>
    <n v="12110397647.384439"/>
    <n v="12365487217.99156"/>
    <n v="13281429196.375057"/>
    <n v="13716406958.184416"/>
    <n v="13669836239.762743"/>
    <n v="14301529479.975399"/>
    <n v="14574608375.540836"/>
    <n v="15255131525.2952"/>
    <n v="16303453382.890724"/>
    <n v="17329365500.670628"/>
    <n v="18198890797.708309"/>
    <n v="20737760204.479568"/>
    <n v="23062154053.557182"/>
    <n v="25592569112.393593"/>
    <n v="27485699466.238041"/>
    <n v="27926801545.989937"/>
    <n v="29520535222.839642"/>
    <n v="30622846296.360584"/>
    <n v="31758550581.534531"/>
    <n v="33541114872.027431"/>
    <n v="33747340858.379791"/>
    <n v="33633656605.989574"/>
    <n v="34516632002.014702"/>
    <n v="35874861958.502647"/>
    <n v="37117847903.222176"/>
    <n v="37021676038.737465"/>
    <n v="39202425756.009575"/>
    <n v="39596715108.638298"/>
    <n v="41053840192.362"/>
    <n v="42815601042.55265"/>
    <n v="43720855866.015503"/>
    <n v="44583563698.148781"/>
    <n v="46482043508.071045"/>
    <n v="47529074209.352425"/>
    <n v="48352157770.627998"/>
    <n v="50444773769.572548"/>
    <n v="52092567137.409157"/>
    <n v="49623699412.406715"/>
    <n v="50165491738.883484"/>
    <n v="52275588700.066559"/>
    <n v="54851779632.361488"/>
    <n v="56433979416.132126"/>
    <n v="60289773139.551422"/>
    <n v="63544590361.254227"/>
    <n v="66303144898.657219"/>
    <n v="67564514887.922836"/>
    <n v="72000071699.660065"/>
    <n v="72785601820.19104"/>
    <n v="75718234074.216949"/>
    <n v="82140258351.387665"/>
    <n v="86890603905.328674"/>
    <n v="93156490881.188599"/>
    <n v="97093344927.478394"/>
    <n v="97209558000"/>
    <n v="96540800718.339813"/>
    <n v="102304671535.15608"/>
    <n v="103373034664.29601"/>
    <n v="103544017315.43484"/>
    <n v="93971273121.555649"/>
    <n v="103197765280.13589"/>
    <n v="109581722560.16742"/>
    <n v="112162610913.16594"/>
  </r>
  <r>
    <x v="66"/>
    <s v="EGY"/>
    <s v="PIB (US$ a precios constantes de 2015)"/>
    <s v="NY.GDP.MKTP.KD"/>
    <n v="20297834751.400555"/>
    <n v="21345429171.51598"/>
    <n v="22172696194.224934"/>
    <n v="24504840915.736748"/>
    <n v="27324754469.017803"/>
    <n v="28667504459.847355"/>
    <n v="30114182469.216995"/>
    <n v="30356681177.768116"/>
    <n v="29868912347.030716"/>
    <n v="31445846805.505966"/>
    <n v="33206347267.894402"/>
    <n v="34553643778.961494"/>
    <n v="35609492777.189857"/>
    <n v="36858257210.599243"/>
    <n v="37432854799.103065"/>
    <n v="40779032775.391243"/>
    <n v="46194361685.846237"/>
    <n v="50353260517.141525"/>
    <n v="54698126368.811462"/>
    <n v="57185627388.645622"/>
    <n v="62910668708.94381"/>
    <n v="67533693105.551903"/>
    <n v="74224371654.624023"/>
    <n v="78005663121.470673"/>
    <n v="85607909951.004959"/>
    <n v="90565897013.744736"/>
    <n v="94862819134.785461"/>
    <n v="98498676314.128281"/>
    <n v="103878004711.49384"/>
    <n v="108989704831.65262"/>
    <n v="115166183182.76317"/>
    <n v="116462268700.45161"/>
    <n v="121671461982.00984"/>
    <n v="125200896556.91602"/>
    <n v="130175343748.45844"/>
    <n v="136218680413.81891"/>
    <n v="143014263359.02905"/>
    <n v="150869114035.83728"/>
    <n v="159280817658.31747"/>
    <n v="168922784450.99442"/>
    <n v="179683172290.12631"/>
    <n v="186035425185.30621"/>
    <n v="190482051409.27856"/>
    <n v="196565009504.22433"/>
    <n v="204608590453.73184"/>
    <n v="213758163784.66467"/>
    <n v="228387426639.90891"/>
    <n v="244575133304.5542"/>
    <n v="262077623378.47815"/>
    <n v="274326082660.55685"/>
    <n v="288446290410.38593"/>
    <n v="293536132736.18848"/>
    <n v="300070833530.76117"/>
    <n v="306628779734.43213"/>
    <n v="315569804751.82758"/>
    <n v="329366576819.40698"/>
    <n v="343682967577.04199"/>
    <n v="358053111989.4754"/>
    <n v="377141312302.88416"/>
    <n v="398080548970.53595"/>
    <n v="412213064649.31812"/>
    <n v="425777537422.23505"/>
    <n v="453827104224.85919"/>
    <n v="470886489666.42615"/>
  </r>
  <r>
    <x v="67"/>
    <s v="EMU"/>
    <s v="PIB (US$ a precios constantes de 2015)"/>
    <s v="NY.GDP.MKTP.KD"/>
    <n v="2684236042777.2388"/>
    <n v="2838503627176.8252"/>
    <n v="3002027904912.6426"/>
    <n v="3149397562607.1353"/>
    <n v="3334715917982.5127"/>
    <n v="3503056330716.1797"/>
    <n v="3657637491622.8135"/>
    <n v="3784860790544.6143"/>
    <n v="3999092017720.7393"/>
    <n v="4284355795257.5977"/>
    <n v="4524152530993.8291"/>
    <n v="4694845411219.0547"/>
    <n v="4924480675172.5479"/>
    <n v="5227416538749.9209"/>
    <n v="5395409696952.5186"/>
    <n v="5353723656250.748"/>
    <n v="5622863787482.5693"/>
    <n v="5796363107932.668"/>
    <n v="5977414576371.8555"/>
    <n v="6208948808427.252"/>
    <n v="6343019481276.7939"/>
    <n v="6376247528691.416"/>
    <n v="6421690501637.458"/>
    <n v="6510965687333.5332"/>
    <n v="6665839655360.8809"/>
    <n v="6820010884448.0977"/>
    <n v="6991031693493.9727"/>
    <n v="7168148612270.7246"/>
    <n v="7476800650642.4541"/>
    <n v="7783313921196.6484"/>
    <n v="8063797734202.1494"/>
    <n v="8250385894964.3965"/>
    <n v="8341745660496.4092"/>
    <n v="8280324721003.0146"/>
    <n v="8482943755882.4971"/>
    <n v="8689969585751.5615"/>
    <n v="8838314883872.2266"/>
    <n v="9078842210333.1836"/>
    <n v="9354179396979.6582"/>
    <n v="9629997828240.9844"/>
    <n v="10001829204485.779"/>
    <n v="10221791939291.32"/>
    <n v="10319874305653.848"/>
    <n v="10392388688751.641"/>
    <n v="10631610967064.523"/>
    <n v="10811598156883.895"/>
    <n v="11161807014416.539"/>
    <n v="11497906302597.475"/>
    <n v="11546740434740.209"/>
    <n v="11023194133278.139"/>
    <n v="11261812158442.826"/>
    <n v="11454906875037.572"/>
    <n v="11357464648713.85"/>
    <n v="11332572294999.068"/>
    <n v="11491033218395.834"/>
    <n v="11727106023830.516"/>
    <n v="11945908763905.35"/>
    <n v="12259920064925.736"/>
    <n v="12479242097863.023"/>
    <n v="12677715217553.719"/>
    <n v="11903098048524.963"/>
    <n v="12612919829083.111"/>
    <n v="13045053754199.309"/>
    <n v="13103343887030.816"/>
  </r>
  <r>
    <x v="68"/>
    <s v="ERI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54926145.9126005"/>
    <n v="1310318715.9037468"/>
    <n v="1588386838.4748273"/>
    <n v="1633788955.2408891"/>
    <n v="1785058837.0734384"/>
    <n v="1926233510.0282345"/>
    <n v="1960377599.5202322"/>
    <n v="1960641860.3008614"/>
    <n v="1899038769.4513733"/>
    <n v="2065307884.5655131"/>
    <n v="2127379250.6275077"/>
    <n v="2070886355.8445961"/>
    <n v="2100950149.6029029"/>
    <n v="2155038051.3013086"/>
    <n v="2134151053.7657559"/>
    <n v="2164601595.0215135"/>
    <n v="1952837971.2142496"/>
    <n v="2028539764.9987924"/>
    <n v="2073049788.7456055"/>
    <n v="2252986366.4108148"/>
    <m/>
    <m/>
    <m/>
    <m/>
    <m/>
    <m/>
    <m/>
    <m/>
    <m/>
    <m/>
    <m/>
    <m/>
  </r>
  <r>
    <x v="69"/>
    <s v="ESP"/>
    <s v="PIB (US$ a precios constantes de 2015)"/>
    <s v="NY.GDP.MKTP.KD"/>
    <n v="189359206639.35648"/>
    <n v="211776826171.30988"/>
    <n v="232855901480.80762"/>
    <n v="255201915444.91702"/>
    <n v="268749335273.20343"/>
    <n v="285554593747.96368"/>
    <n v="306246051827.5097"/>
    <n v="319538166865.75555"/>
    <n v="340618164081.15405"/>
    <n v="370957076939.94135"/>
    <n v="386704096414.72882"/>
    <n v="404683801625.87415"/>
    <n v="437664502790.7038"/>
    <n v="471751850974.362"/>
    <n v="498258576598.26862"/>
    <n v="500960150616.3963"/>
    <n v="517510829852.72601"/>
    <n v="532200759443.85608"/>
    <n v="539986873776.56744"/>
    <n v="540211219502.07764"/>
    <n v="552143016545.96741"/>
    <n v="551411601239.18384"/>
    <n v="558284735137.63806"/>
    <n v="568167021108.24634"/>
    <n v="578307026952.11475"/>
    <n v="591732054153.26208"/>
    <n v="610983001511.04712"/>
    <n v="644874977788.82092"/>
    <n v="677726999867.62158"/>
    <n v="710441087303.85986"/>
    <n v="737305660791.84119"/>
    <n v="756077467226.83582"/>
    <n v="763103054853.53931"/>
    <n v="755231709959.59595"/>
    <n v="773230356774.81006"/>
    <n v="794552137824.60889"/>
    <n v="815691686929.68701"/>
    <n v="845892627812.49951"/>
    <n v="883053543058.20264"/>
    <n v="922707533769.14026"/>
    <n v="971112252648.43713"/>
    <n v="1009306124395.3121"/>
    <n v="1036869753137.109"/>
    <n v="1067788548860.1559"/>
    <n v="1101132739762.1089"/>
    <n v="1141347034482.812"/>
    <n v="1188172916518.7495"/>
    <n v="1231003442635.5464"/>
    <n v="1241923268505.0774"/>
    <n v="1195188366526.1711"/>
    <n v="1197135561649.218"/>
    <n v="1187386271879.2961"/>
    <n v="1152252436684.7649"/>
    <n v="1136082395816.7961"/>
    <n v="1151939554049.6086"/>
    <n v="1196156971279.6868"/>
    <n v="1232493518447.6555"/>
    <n v="1269169576560.1555"/>
    <n v="1298163367417.968"/>
    <n v="1323918490148.0461"/>
    <n v="1176072568933.593"/>
    <n v="1251378537358.9834"/>
    <n v="1323591183845.3113"/>
    <n v="1356724567298.0457"/>
  </r>
  <r>
    <x v="70"/>
    <s v="EST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589704716.079939"/>
    <n v="13422551157.902948"/>
    <n v="10581177448.928944"/>
    <n v="9973765569.029314"/>
    <n v="9809953987.5332966"/>
    <n v="10254019388.508982"/>
    <n v="10760877052.820311"/>
    <n v="12165173094.816793"/>
    <n v="12693120380.153122"/>
    <n v="12639171425.359371"/>
    <n v="13914164835.082418"/>
    <n v="14749525966.537106"/>
    <n v="15748270637.726559"/>
    <n v="16945180968.25898"/>
    <n v="18098132398.064838"/>
    <n v="19822237764.193741"/>
    <n v="21757994918.851162"/>
    <n v="23407063928.187096"/>
    <n v="22205813183.226551"/>
    <n v="18957312552.255459"/>
    <n v="19420679530.280067"/>
    <n v="20831219910.824989"/>
    <n v="21503693454.807018"/>
    <n v="21817309477.983971"/>
    <n v="22474308645.680454"/>
    <n v="22890762090.150768"/>
    <n v="23613094924.411709"/>
    <n v="24980775931.504677"/>
    <n v="25926098666.52343"/>
    <n v="26971876698.659367"/>
    <n v="26711487337.384365"/>
    <n v="28647890228.544132"/>
    <n v="28515822690.147259"/>
    <n v="27658753938.987492"/>
  </r>
  <r>
    <x v="71"/>
    <s v="ETH"/>
    <s v="PIB (US$ a precios constantes de 2015)"/>
    <s v="NY.GDP.MKTP.KD"/>
    <m/>
    <n v="5263329225.8233252"/>
    <n v="5491025655.4362764"/>
    <n v="5739145003.6115274"/>
    <n v="5973903904.1711931"/>
    <n v="6318713576.2351103"/>
    <n v="6777237221.5508099"/>
    <n v="7052500667.1468115"/>
    <n v="7344628492.4647408"/>
    <n v="7446620220.1245508"/>
    <n v="7705965802.7234516"/>
    <n v="8208893824.0042133"/>
    <n v="8555896866.5554533"/>
    <n v="8993092031.6345711"/>
    <n v="9287495137.5410061"/>
    <n v="9403229559.9553452"/>
    <n v="9417222535.5745564"/>
    <n v="9673906039.8849201"/>
    <n v="9938971677.8833256"/>
    <n v="9829567086.0661831"/>
    <n v="10461034808.913298"/>
    <n v="10919390083.465408"/>
    <n v="11019413209.701246"/>
    <n v="11926862517.735468"/>
    <n v="11587182914.654205"/>
    <n v="10295866350.447155"/>
    <n v="11290613046.456863"/>
    <n v="12855416412.183428"/>
    <n v="12920165915.280718"/>
    <n v="12873518408.229261"/>
    <n v="13224508680.370064"/>
    <n v="12280612057.847639"/>
    <n v="11215578415.091612"/>
    <n v="12689623265.692997"/>
    <n v="13094417753.480627"/>
    <n v="13896779695.891281"/>
    <n v="15623617690.374142"/>
    <n v="16113247315.527441"/>
    <n v="15556028804.396515"/>
    <n v="16359053695.244835"/>
    <n v="17352574603.758251"/>
    <n v="18793064976.113552"/>
    <n v="19077728362.310474"/>
    <n v="18665390025.603867"/>
    <n v="21198769337.727898"/>
    <n v="23704202269.324039"/>
    <n v="26272487888.348717"/>
    <n v="29282307975.898922"/>
    <n v="32441436121.856342"/>
    <n v="35297110794.621376"/>
    <n v="39727088219.905998"/>
    <n v="44167899823.553917"/>
    <n v="47987456602.712257"/>
    <n v="53065618849.706306"/>
    <n v="58508820967.928741"/>
    <n v="64589328550.595299"/>
    <n v="70682351658.233612"/>
    <n v="77442545814.928177"/>
    <n v="82721144195.291428"/>
    <n v="89640011587.044235"/>
    <n v="95071775775.763931"/>
    <n v="100435279209.68051"/>
    <n v="105779617467.59123"/>
    <n v="112653319434.8363"/>
  </r>
  <r>
    <x v="72"/>
    <s v="EUU"/>
    <s v="PIB (US$ a precios constantes de 2015)"/>
    <s v="NY.GDP.MKTP.KD"/>
    <n v="3071476147846.356"/>
    <n v="3248241322107.6992"/>
    <n v="3433227252343.2227"/>
    <n v="3598287726297.0415"/>
    <n v="3814594637346.627"/>
    <n v="4014835317433.7065"/>
    <n v="4187220968991.7446"/>
    <n v="4336791307437.3799"/>
    <n v="4578095525063.6533"/>
    <n v="4899707348013.1514"/>
    <n v="5169598186905.6484"/>
    <n v="5358851132330.0645"/>
    <n v="5614672755252.4482"/>
    <n v="5952593183482.7607"/>
    <n v="6138658696683.3867"/>
    <n v="6102657449758.4893"/>
    <n v="6400286901557.293"/>
    <n v="6587773025581.459"/>
    <n v="6789786914847.542"/>
    <n v="7051719083394.6885"/>
    <n v="7196447603768.5146"/>
    <n v="7235305296104.666"/>
    <n v="7295876744403.7119"/>
    <n v="7400929731614.5557"/>
    <n v="7585824177520.2266"/>
    <n v="7761869237371.4121"/>
    <n v="7961606238688.7256"/>
    <n v="8163713045079.123"/>
    <n v="8499351078665.417"/>
    <n v="8829224581528.7148"/>
    <n v="9121031279683.1855"/>
    <n v="9250496487234.291"/>
    <n v="9332621573241.2676"/>
    <n v="9272746913994.4043"/>
    <n v="9517417003212.2598"/>
    <n v="9772349924120.4199"/>
    <n v="9956203936477.5449"/>
    <n v="10220360704441.918"/>
    <n v="10528075026889.844"/>
    <n v="10838515462647.396"/>
    <n v="11261274484833.582"/>
    <n v="11506309637572.059"/>
    <n v="11634116210287.072"/>
    <n v="11739783345432.975"/>
    <n v="12044138028093.557"/>
    <n v="12275956732793.189"/>
    <n v="12704933352357.432"/>
    <n v="13105916488625.682"/>
    <n v="13189959482365.877"/>
    <n v="12616367732752.734"/>
    <n v="12897096850706.117"/>
    <n v="13142265095534.729"/>
    <n v="13050023950209.057"/>
    <n v="13039239098073.457"/>
    <n v="13247952004886.105"/>
    <n v="13553897260141.035"/>
    <n v="13821221829716.121"/>
    <n v="14214403161940.047"/>
    <n v="14508200940852.867"/>
    <n v="14770119229270.111"/>
    <n v="13935185525351.717"/>
    <n v="14772513099967.381"/>
    <n v="15286397678719.916"/>
    <n v="15355286193298.066"/>
  </r>
  <r>
    <x v="73"/>
    <s v="FCS"/>
    <s v="PIB (US$ a precios constantes de 2015)"/>
    <s v="NY.GDP.MKTP.KD"/>
    <n v="281769709146.05664"/>
    <n v="281247962233.85077"/>
    <n v="303441817792.8952"/>
    <n v="323073584489.91229"/>
    <n v="339849120942.67902"/>
    <n v="361277566611.3421"/>
    <n v="364481905878.05432"/>
    <n v="343480327231.88812"/>
    <n v="364809865568.64929"/>
    <n v="412407681470.26709"/>
    <n v="462794556619.91986"/>
    <n v="498153237041.37537"/>
    <n v="517073574199.37976"/>
    <n v="537345437315.53448"/>
    <n v="596454276852.09167"/>
    <n v="595923266770.8042"/>
    <n v="649760299387.0083"/>
    <n v="682224535663.83447"/>
    <n v="681058716849.48352"/>
    <n v="724164336261.21045"/>
    <n v="762515271718.62415"/>
    <n v="712363098227.10754"/>
    <n v="706625658361.95972"/>
    <n v="673392330694.15771"/>
    <n v="665639686442.99548"/>
    <n v="693972461520.57898"/>
    <n v="693253341658.2782"/>
    <n v="703646288512.38171"/>
    <n v="729201129368.03369"/>
    <n v="736786882232.65979"/>
    <n v="774849064559.69958"/>
    <n v="728408996249.86646"/>
    <n v="729766193299.1781"/>
    <n v="715779072269.9502"/>
    <n v="691060503804.94849"/>
    <n v="688885443073.06921"/>
    <n v="712393931816.33606"/>
    <n v="744744032206.84668"/>
    <n v="781483487437.27039"/>
    <n v="805821578040.02795"/>
    <n v="849850493687.06445"/>
    <n v="884795177531.22021"/>
    <n v="927212920642.99634"/>
    <n v="937185621659.17932"/>
    <n v="1042728751145.3879"/>
    <n v="1103566344065.2205"/>
    <n v="1167806847813.1936"/>
    <n v="1237736467722.5381"/>
    <n v="1300144533108.3137"/>
    <n v="1339999362372.2981"/>
    <n v="1434032713010.8193"/>
    <n v="1434662008994.5217"/>
    <n v="1514578018177.1511"/>
    <n v="1567336716220.0088"/>
    <n v="1600192613351.7212"/>
    <n v="1617323277101.4702"/>
    <n v="1652373188802.3799"/>
    <n v="1694398569916.929"/>
    <n v="1740488896143.051"/>
    <n v="1784410113547.7742"/>
    <n v="1671039644771.8157"/>
    <n v="1747389349759.0269"/>
    <n v="1772960592513.0244"/>
    <n v="1801919137899.4836"/>
  </r>
  <r>
    <x v="74"/>
    <s v="FIN"/>
    <s v="PIB (US$ a precios constantes de 2015)"/>
    <s v="NY.GDP.MKTP.KD"/>
    <n v="49358779714.80143"/>
    <n v="53112352264.688034"/>
    <n v="54696133682.164375"/>
    <n v="56492956170.500931"/>
    <n v="59452445094.158714"/>
    <n v="62605123717.482254"/>
    <n v="64090632501.796349"/>
    <n v="65480648650.711906"/>
    <n v="66988857872.251717"/>
    <n v="73415291791.687653"/>
    <n v="78899731715.717941"/>
    <n v="80759336343.614426"/>
    <n v="87006463097.94606"/>
    <n v="93082844694.513641"/>
    <n v="96095501717.889038"/>
    <n v="97829927772.926529"/>
    <n v="98166836909.729263"/>
    <n v="98401957114.920288"/>
    <n v="101275006350.29413"/>
    <n v="108487737735.28514"/>
    <n v="114334193866.01559"/>
    <n v="115838693345.70311"/>
    <n v="119439062675.78125"/>
    <n v="123161478423.82811"/>
    <n v="127149067752.73436"/>
    <n v="131661456678.90623"/>
    <n v="135289563831.24998"/>
    <n v="140125930521.48438"/>
    <n v="147436510957.81247"/>
    <n v="154936818098.43747"/>
    <n v="155975322164.06247"/>
    <n v="146794102994.14059"/>
    <n v="141957736303.90622"/>
    <n v="141017978885.54684"/>
    <n v="146606595315.62497"/>
    <n v="152788801142.18747"/>
    <n v="158391841239.84375"/>
    <n v="168424056796.87497"/>
    <n v="177615261582.81244"/>
    <n v="185394056458.98431"/>
    <n v="196097527314.84369"/>
    <n v="201215710279.29681"/>
    <n v="204650762188.67181"/>
    <n v="208751521832.42178"/>
    <n v="217085073153.90619"/>
    <n v="223119713766.01553"/>
    <n v="232105658667.18741"/>
    <n v="244405718572.65616"/>
    <n v="246321847334.76553"/>
    <n v="226432719257.42178"/>
    <n v="233646772072.26553"/>
    <n v="239599308730.46863"/>
    <n v="236250798826.56238"/>
    <n v="234120534076.56238"/>
    <n v="233266209150.78113"/>
    <n v="234534382384.7655"/>
    <n v="241128217493.74988"/>
    <n v="248826017928.90613"/>
    <n v="251661932877.34366"/>
    <n v="254744159687.49991"/>
    <n v="248745023487.89053"/>
    <n v="255804854010.93744"/>
    <n v="259221044201.17178"/>
    <n v="256537132518.74991"/>
  </r>
  <r>
    <x v="75"/>
    <s v="FJI"/>
    <s v="PIB (US$ a precios constantes de 2015)"/>
    <s v="NY.GDP.MKTP.KD"/>
    <n v="864434173.73641479"/>
    <n v="894841354.6577301"/>
    <n v="927110247.95008099"/>
    <n v="986063074.51174581"/>
    <n v="1034156138.863566"/>
    <n v="1006231162.3426235"/>
    <n v="1006231162.3426235"/>
    <n v="1140581419.655081"/>
    <n v="1230872371.8930538"/>
    <n v="1262830871.5549452"/>
    <n v="1423244629.2025757"/>
    <n v="1521291761.9169714"/>
    <n v="1635164659.3059494"/>
    <n v="1825054181.0426474"/>
    <n v="1872526576.226181"/>
    <n v="1882454921.6526568"/>
    <n v="1933961961.3683581"/>
    <n v="2048143304.5925429"/>
    <n v="2086308436.6465847"/>
    <n v="2341355882.8660607"/>
    <n v="2303813249.585166"/>
    <n v="2449644410.5485282"/>
    <n v="2303192757.5069499"/>
    <n v="2211983491.1467366"/>
    <n v="2397635806.8831758"/>
    <n v="2287021481.5029402"/>
    <n v="2464263541.5056877"/>
    <n v="2301252015.5027771"/>
    <n v="2323246343.7767019"/>
    <n v="2496064099.8472986"/>
    <n v="2640835885.5271397"/>
    <n v="2569533218.1368136"/>
    <n v="2726274793.5180779"/>
    <n v="2784345330.5159984"/>
    <n v="2926346931.4722075"/>
    <n v="2999505561.9895368"/>
    <n v="3143481841.8691964"/>
    <n v="3074325261.1931109"/>
    <n v="3114291503.4703717"/>
    <n v="3388349115.8901734"/>
    <n v="3330747234.589623"/>
    <n v="3397362184.1693554"/>
    <n v="3506077743.953064"/>
    <n v="3541138498.4192762"/>
    <n v="3728818828.3753057"/>
    <n v="3754920575.1799092"/>
    <n v="3824479873.2413335"/>
    <n v="3791946770.362771"/>
    <n v="3831109777.4424014"/>
    <n v="3778009151.3061271"/>
    <n v="3889636945.8050303"/>
    <n v="3994857188.4982915"/>
    <n v="4051237182.5311275"/>
    <n v="4243031642.795033"/>
    <n v="4480790532.157959"/>
    <n v="4682479893.9755821"/>
    <n v="4796997047.6299839"/>
    <n v="5053797787.5053148"/>
    <n v="5246466309.2189875"/>
    <n v="5216010336.4884987"/>
    <n v="4327208912.2964659"/>
    <n v="4115996279.0113893"/>
    <n v="4939873198.8299713"/>
    <n v="5336367607.3020782"/>
  </r>
  <r>
    <x v="76"/>
    <s v="FRA"/>
    <s v="PIB (US$ a precios constantes de 2015)"/>
    <s v="NY.GDP.MKTP.KD"/>
    <n v="521063228283.46515"/>
    <n v="547012759862.23853"/>
    <n v="584447414128.31653"/>
    <n v="620879995184.53333"/>
    <n v="662181550405.32715"/>
    <n v="694373557660.39465"/>
    <n v="730840925274.27124"/>
    <n v="766806695424.45081"/>
    <n v="801246352783.83362"/>
    <n v="858210765011.495"/>
    <n v="910636112294.55518"/>
    <n v="959053168957.19592"/>
    <n v="1002319594950.897"/>
    <n v="1065911376205.149"/>
    <n v="1111755362632.6541"/>
    <n v="1101083792491.426"/>
    <n v="1149055358647.7358"/>
    <n v="1188862221373.2822"/>
    <n v="1236161624649.2195"/>
    <n v="1280045228283.4597"/>
    <n v="1300253881649.6357"/>
    <n v="1314153853595.8213"/>
    <n v="1347078619777.783"/>
    <n v="1363794045035.677"/>
    <n v="1384438090121.8535"/>
    <n v="1406904493488.1882"/>
    <n v="1439787739478.7568"/>
    <n v="1476673666392.5703"/>
    <n v="1546714398124.4973"/>
    <n v="1613901522615.4326"/>
    <n v="1661090955411.7024"/>
    <n v="1678502109603.7661"/>
    <n v="1705347110174.8438"/>
    <n v="1694626166709.9827"/>
    <n v="1734592373238.8289"/>
    <n v="1771133801947.6677"/>
    <n v="1796159810500.6975"/>
    <n v="1838123429815.5334"/>
    <n v="1904087419529.2537"/>
    <n v="1969233367607.7419"/>
    <n v="2046499571261.1829"/>
    <n v="2087096421588.522"/>
    <n v="2110796058518.4023"/>
    <n v="2128171303325.761"/>
    <n v="2188393293109.3516"/>
    <n v="2224791087607.9087"/>
    <n v="2279283420792.2778"/>
    <n v="2334550031985.4214"/>
    <n v="2340501872979.0425"/>
    <n v="2273251909006.5205"/>
    <n v="2317567536989.1377"/>
    <n v="2368384855035.1729"/>
    <n v="2375801091055.5366"/>
    <n v="2389493466482.8091"/>
    <n v="2412341398046.8433"/>
    <n v="2439188643162.4985"/>
    <n v="2465909086487.9365"/>
    <n v="2522413420333.7813"/>
    <n v="2569458097202.2368"/>
    <n v="2616812485718.0073"/>
    <n v="2419492808873.395"/>
    <n v="2575192242890.6133"/>
    <n v="2638406985036.3213"/>
    <n v="2656973944325.3457"/>
  </r>
  <r>
    <x v="77"/>
    <s v="FRO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2939073.2661819"/>
    <n v="2069867758.1803412"/>
    <n v="2057925881.4680963"/>
    <n v="2134237769.0523894"/>
    <n v="2283989844.5648112"/>
    <n v="2417672955.8809929"/>
    <n v="2549017907.3678389"/>
    <n v="2573905971.054594"/>
    <n v="2611740221.7158585"/>
    <n v="2703524764.278172"/>
    <n v="2777372953.2503462"/>
    <n v="2899302496.0284576"/>
    <n v="2843437737.6899662"/>
    <n v="3007093233.3956194"/>
    <n v="3169430571.8820496"/>
    <m/>
  </r>
  <r>
    <x v="78"/>
    <s v="FSM"/>
    <s v="PIB (US$ a precios constantes de 2015)"/>
    <s v="NY.GDP.MKTP.KD"/>
    <m/>
    <m/>
    <m/>
    <m/>
    <m/>
    <m/>
    <m/>
    <m/>
    <m/>
    <m/>
    <n v="100761871.70256217"/>
    <n v="103080982.17250475"/>
    <n v="104180768.798418"/>
    <n v="139529311.0599868"/>
    <n v="160915356.59009576"/>
    <n v="161034897.66454139"/>
    <n v="161608701.50618511"/>
    <n v="165529674.71395269"/>
    <n v="174865894.84360516"/>
    <n v="178571695.14572585"/>
    <n v="165720940.94724274"/>
    <n v="181835189.87315682"/>
    <n v="177069172.74269193"/>
    <n v="180486601.86243048"/>
    <n v="173352871.65519151"/>
    <n v="202043944.26594704"/>
    <n v="218165732.31614196"/>
    <n v="220783197.61087674"/>
    <n v="226410747.99455646"/>
    <n v="234394017.14349744"/>
    <n v="243162525.8808589"/>
    <n v="261223036.41452873"/>
    <n v="271692897.59346777"/>
    <n v="293810479.33397645"/>
    <n v="292240000.15713561"/>
    <n v="312739072.23264503"/>
    <n v="302786553.06921035"/>
    <n v="284434849.5215013"/>
    <n v="292542710.01847172"/>
    <n v="296563529.33097851"/>
    <n v="310899125.00371134"/>
    <n v="317638182.02480018"/>
    <n v="319375655.48744506"/>
    <n v="324396608.28907001"/>
    <n v="314404696.27294958"/>
    <n v="320824422.52808076"/>
    <n v="320564377.35104889"/>
    <n v="314678221.39624935"/>
    <n v="307099219.76208013"/>
    <n v="310456119.00257742"/>
    <n v="317470533.37267232"/>
    <n v="327593318.65352947"/>
    <n v="321477741.86564648"/>
    <n v="309648107.46609277"/>
    <n v="302508316.50838006"/>
    <n v="316489900"/>
    <n v="318022033.31027299"/>
    <n v="320639498.60500771"/>
    <n v="320639498.60500771"/>
    <n v="333726825.07868153"/>
    <n v="327183161.84184462"/>
    <n v="336344290.3734163"/>
    <n v="333726825.07868153"/>
    <n v="336344290.3734163"/>
  </r>
  <r>
    <x v="79"/>
    <s v="GAB"/>
    <s v="PIB (US$ a precios constantes de 2015)"/>
    <s v="NY.GDP.MKTP.KD"/>
    <n v="1696430402.1603155"/>
    <n v="1946939619.4210932"/>
    <n v="2091971271.3353915"/>
    <n v="2219423267.2021251"/>
    <n v="2320505870.858017"/>
    <n v="2513881414.0961752"/>
    <n v="2627207303.0450544"/>
    <n v="2735320899.3637176"/>
    <n v="2803944654.1738501"/>
    <n v="3030584989.1845264"/>
    <n v="3293619830.3170309"/>
    <n v="3631503425.9633107"/>
    <n v="4043205904.7193151"/>
    <n v="4454902662.0317783"/>
    <n v="6214014316.313159"/>
    <n v="7406490804.1376104"/>
    <n v="10045078184.81212"/>
    <n v="8781197289.6824894"/>
    <n v="6669389058.0728502"/>
    <n v="6701028991.8896055"/>
    <n v="6872102050.9685993"/>
    <n v="7222258278.8514662"/>
    <n v="6998547355.4818573"/>
    <n v="7391042735.2287779"/>
    <n v="7946028913.7888899"/>
    <n v="7760652085.2689676"/>
    <n v="7698287660.9756556"/>
    <n v="6378336008.800519"/>
    <n v="7197655800.4808626"/>
    <n v="7812717800.6326056"/>
    <n v="8218372646.5866766"/>
    <n v="8720720960.8561745"/>
    <n v="8451237981.3009958"/>
    <n v="8784770737.0817814"/>
    <n v="9110927737.901413"/>
    <n v="9564091413.4135513"/>
    <n v="9910794415.4941711"/>
    <n v="10479512210.802357"/>
    <n v="10843972206.243214"/>
    <n v="9875321072.2731438"/>
    <n v="9689372094.8262424"/>
    <n v="9896262806.1744175"/>
    <n v="9871617829.3408165"/>
    <n v="10093465659.440622"/>
    <n v="10163064451.253828"/>
    <n v="10435048720.844324"/>
    <n v="10142180902.039347"/>
    <n v="10751534086.712282"/>
    <n v="10395827037.772657"/>
    <n v="10409376035.565186"/>
    <n v="11147389066.634661"/>
    <n v="11937934403.378851"/>
    <n v="12564804521.261454"/>
    <n v="13273296028.579344"/>
    <n v="13846034032.37112"/>
    <n v="14383107762.695183"/>
    <n v="14683922149.308834"/>
    <n v="14753324537.172739"/>
    <n v="14876945089.692127"/>
    <n v="15460241661.125925"/>
    <n v="15176119359.553293"/>
    <n v="15398898313.837267"/>
    <n v="15855897831.779387"/>
    <n v="16214753599.298986"/>
  </r>
  <r>
    <x v="80"/>
    <s v="GBR"/>
    <s v="PIB (US$ a precios constantes de 2015)"/>
    <s v="NY.GDP.MKTP.KD"/>
    <n v="793079866424.96472"/>
    <n v="814503445765.68933"/>
    <n v="823452364043.39648"/>
    <n v="863468403941.43396"/>
    <n v="911777829363.82349"/>
    <n v="931201734056.82642"/>
    <n v="945797853513.02844"/>
    <n v="972050719896.05383"/>
    <n v="1025248071525.226"/>
    <n v="1045129044534.5334"/>
    <n v="1073437216535.4299"/>
    <n v="1111058157772.7002"/>
    <n v="1159074398067.1238"/>
    <n v="1234690654833.2717"/>
    <n v="1204015952087.2102"/>
    <n v="1186272977192.6931"/>
    <n v="1220796677573.1328"/>
    <n v="1250800814233.0662"/>
    <n v="1303387739218.314"/>
    <n v="1352251961842.2559"/>
    <n v="1324782750643.436"/>
    <n v="1314346855476.6838"/>
    <n v="1340566646999.8301"/>
    <n v="1397163444613.4624"/>
    <n v="1428866552598.9873"/>
    <n v="1488127577613.3601"/>
    <n v="1535008665311.1865"/>
    <n v="1617787665004.9211"/>
    <n v="1710525945160.9431"/>
    <n v="1754616510184.9563"/>
    <n v="1767491105260.8513"/>
    <n v="1747993528070.5933"/>
    <n v="1755004416003.8374"/>
    <n v="1798701060348.0825"/>
    <n v="1867879267909.6443"/>
    <n v="1915167807814.5129"/>
    <n v="1964617872083.2954"/>
    <n v="2061373900561.8528"/>
    <n v="2131754768634.1633"/>
    <n v="2197118124393.4077"/>
    <n v="2292005659330.4673"/>
    <n v="2351110550045.1016"/>
    <n v="2393242112919.8779"/>
    <n v="2468547211780.9517"/>
    <n v="2528446424688.2148"/>
    <n v="2597696587524.8735"/>
    <n v="2659684781326.5313"/>
    <n v="2729377332063.375"/>
    <n v="2723216391181.7979"/>
    <n v="2597541114752.8882"/>
    <n v="2655691972447.5107"/>
    <n v="2686102342147.8652"/>
    <n v="2726741371606.0259"/>
    <n v="2775613362979.6787"/>
    <n v="2864315928147.1675"/>
    <n v="2927911140916.7314"/>
    <n v="2984158170626.7285"/>
    <n v="3063389649063.7422"/>
    <n v="3106393270517.1401"/>
    <n v="3157388164033.9238"/>
    <n v="2830285881776.1147"/>
    <n v="3075810468184.3213"/>
    <n v="3209461471538.3066"/>
    <n v="3212799884330.5967"/>
  </r>
  <r>
    <x v="81"/>
    <s v="GEO"/>
    <s v="PIB (US$ a precios constantes de 2015)"/>
    <s v="NY.GDP.MKTP.KD"/>
    <m/>
    <m/>
    <m/>
    <m/>
    <m/>
    <n v="7019638203.7037525"/>
    <n v="7548614493.0108023"/>
    <n v="8020635559.0497465"/>
    <n v="8378001665.830019"/>
    <n v="8778177254.1516781"/>
    <n v="9836129832.7657776"/>
    <n v="10079213236.648609"/>
    <n v="10365106122.072826"/>
    <n v="11037028854.091986"/>
    <n v="12009362469.623312"/>
    <n v="12895704865.710636"/>
    <n v="13682282556.988464"/>
    <n v="14625580176.343893"/>
    <n v="15712196494.772659"/>
    <n v="16870286034.55748"/>
    <n v="17642345727.74736"/>
    <n v="18571497605.376072"/>
    <n v="18943381710.244297"/>
    <n v="19758250884.975567"/>
    <n v="20830721461.677616"/>
    <n v="21860010300.477047"/>
    <n v="20072807510.214451"/>
    <n v="20330036655.824001"/>
    <n v="21459462455.794159"/>
    <n v="19915715325.775627"/>
    <n v="16970422995.72821"/>
    <n v="13389689057.06212"/>
    <n v="7377748823.2064877"/>
    <n v="5216056133.5470657"/>
    <n v="4673678615.2357559"/>
    <n v="4795034188.9965572"/>
    <n v="5332200118.2506552"/>
    <n v="5893190454.6234379"/>
    <n v="6075968327.9870987"/>
    <n v="6250184305.0424814"/>
    <n v="6365211520.6623821"/>
    <n v="6671206249.5929909"/>
    <n v="7036389739.9590826"/>
    <n v="7814405534.9286346"/>
    <n v="8267069270.1836462"/>
    <n v="9059975319.6023769"/>
    <n v="9913559155.9015083"/>
    <n v="11160245709.658939"/>
    <n v="11430503827.91152"/>
    <n v="11013204446.973305"/>
    <n v="11701134202.52533"/>
    <n v="12629541567.43158"/>
    <n v="13460417765.695713"/>
    <n v="14151325572.137575"/>
    <n v="14730184213.849369"/>
    <n v="15223796148.839621"/>
    <n v="15749049874.534376"/>
    <n v="16561685511.098269"/>
    <n v="17565660917.334095"/>
    <n v="18510819818.49567"/>
    <n v="17346401920.56995"/>
    <n v="19192793472.268028"/>
    <n v="21296041913.214424"/>
    <n v="22887810113.831554"/>
  </r>
  <r>
    <x v="82"/>
    <s v="GHA"/>
    <s v="PIB (US$ a precios constantes de 2015)"/>
    <s v="NY.GDP.MKTP.KD"/>
    <n v="7657874898.3021803"/>
    <n v="7920515043.7620277"/>
    <n v="8245981569.3427134"/>
    <n v="8609297389.7782402"/>
    <n v="8799504964.7263546"/>
    <n v="8919970088.2334938"/>
    <n v="8540131860.9843359"/>
    <n v="8802772006.0663128"/>
    <n v="8835241939.8190479"/>
    <n v="9365902029.4158764"/>
    <n v="10276592945.779488"/>
    <n v="10812632834.053448"/>
    <n v="10543651789.24255"/>
    <n v="10847792302.309956"/>
    <n v="11591139095.748476"/>
    <n v="10150171684.003643"/>
    <n v="9791852068.4075165"/>
    <n v="10014529285.39168"/>
    <n v="10863354338.497128"/>
    <n v="10590147340.681108"/>
    <n v="10640100636.063051"/>
    <n v="10267370787.557096"/>
    <n v="9556493927.8713093"/>
    <n v="9120360630.3612328"/>
    <n v="9909050150.5746975"/>
    <n v="10413581059.533628"/>
    <n v="10954999871.334667"/>
    <n v="11480281037.404419"/>
    <n v="12126410628.724485"/>
    <n v="12743144436.397469"/>
    <n v="13167340507.28038"/>
    <n v="13862816574.153797"/>
    <n v="14400613325.408932"/>
    <n v="15099043151.441015"/>
    <n v="15597311536.102161"/>
    <n v="16238738334.776846"/>
    <n v="16986119958.801989"/>
    <n v="17698918267.493744"/>
    <n v="18530836590.656113"/>
    <n v="19346192812.374855"/>
    <n v="20062001962.227745"/>
    <n v="20864482066.412106"/>
    <n v="21803383667.388973"/>
    <n v="22937159647.11372"/>
    <n v="24221640585.236008"/>
    <n v="25650718304.680641"/>
    <n v="27292341859.037704"/>
    <n v="28478690589.004734"/>
    <n v="31084433518.164406"/>
    <n v="32590314875.061951"/>
    <n v="35164855870.699051"/>
    <n v="40104506631.695763"/>
    <n v="43831333975.41507"/>
    <n v="47036511237.556328"/>
    <n v="48379986962.94268"/>
    <n v="49406010054.266335"/>
    <n v="51072704881.725212"/>
    <n v="55224351374.448891"/>
    <n v="58648304058.643791"/>
    <n v="62465003607.230957"/>
    <n v="62786037290.327904"/>
    <n v="65973349399.448578"/>
    <n v="68491885061.464119"/>
    <n v="70508824388.017151"/>
  </r>
  <r>
    <x v="83"/>
    <s v="GIB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4"/>
    <s v="GIN"/>
    <s v="PIB (US$ a precios constantes de 2015)"/>
    <s v="NY.GDP.MKTP.KD"/>
    <m/>
    <m/>
    <m/>
    <m/>
    <m/>
    <m/>
    <m/>
    <m/>
    <m/>
    <m/>
    <n v="1942094681.2797637"/>
    <n v="2046303955.1821818"/>
    <n v="2093679565.5355892"/>
    <n v="2126493529.1197855"/>
    <n v="2238139142.8218136"/>
    <n v="2302528628.2943525"/>
    <n v="2484966452.0707431"/>
    <n v="2401643791.331646"/>
    <n v="2564865855.1362348"/>
    <n v="2533885847.325099"/>
    <n v="2599802048.8238287"/>
    <n v="2615654007.8781199"/>
    <n v="2662735904.5874014"/>
    <n v="2697351786.4705863"/>
    <n v="2735114966.6362219"/>
    <n v="2871868816.3550162"/>
    <n v="2961299961.0333242"/>
    <n v="3059021048.6992855"/>
    <n v="3251987666.3892236"/>
    <n v="3382180212.4661012"/>
    <n v="3528427807.3346219"/>
    <n v="3620640551.3344398"/>
    <n v="3739069795.7839103"/>
    <n v="3927673880.7614312"/>
    <n v="4083606426.384234"/>
    <n v="4271765665.3864112"/>
    <n v="4462353698.0103941"/>
    <n v="4693575171.5229826"/>
    <n v="4864614741.3605013"/>
    <n v="5050054051.5140381"/>
    <n v="5176459962.8874712"/>
    <n v="5365832803.1742792"/>
    <n v="5642957112.1086016"/>
    <n v="5713415145.6685925"/>
    <n v="5847115762.6495123"/>
    <n v="6022369759.1161156"/>
    <n v="6094011997.2600584"/>
    <n v="6509469504.6560259"/>
    <n v="6778506931.1914902"/>
    <n v="6702408562.1223383"/>
    <n v="7025020330.4193554"/>
    <n v="7419271579.907095"/>
    <n v="7858142732.271656"/>
    <n v="8168200455.3144617"/>
    <n v="8470142323.8725643"/>
    <n v="8794202394.2907639"/>
    <n v="9745790250.2847481"/>
    <n v="10749607166.750343"/>
    <n v="11433120070.578922"/>
    <n v="12075308646.161352"/>
    <n v="12669445996.735937"/>
    <n v="13163554390.670399"/>
    <n v="13782241447.011858"/>
    <n v="14755537829.156134"/>
  </r>
  <r>
    <x v="85"/>
    <s v="GMB"/>
    <s v="PIB (US$ a precios constantes de 2015)"/>
    <s v="NY.GDP.MKTP.KD"/>
    <m/>
    <m/>
    <m/>
    <m/>
    <m/>
    <m/>
    <n v="253504725.7313827"/>
    <n v="253504725.7313827"/>
    <n v="277780701.96751899"/>
    <n v="284546114.52325493"/>
    <n v="302056645.83937579"/>
    <n v="301857659.86377048"/>
    <n v="302587264.27158415"/>
    <n v="330577582.49572909"/>
    <n v="350011556.29256505"/>
    <n v="393389990.33091271"/>
    <n v="422308976.52910054"/>
    <n v="436834614.98329371"/>
    <n v="464427038.90116805"/>
    <n v="458258597.17233425"/>
    <n v="486991776.01437837"/>
    <n v="503169126.65415525"/>
    <n v="499321982.87625808"/>
    <n v="553664331.56617415"/>
    <n v="573237790.27477229"/>
    <n v="568581582.28338206"/>
    <n v="591842657.0348748"/>
    <n v="606368444.28816795"/>
    <n v="633514510.04107583"/>
    <n v="670864763.57596219"/>
    <n v="694740031.23116314"/>
    <n v="716325876.50534344"/>
    <n v="740528298.60342443"/>
    <n v="762833761.66329396"/>
    <n v="764011164.75475597"/>
    <n v="770748583.77031517"/>
    <n v="787886530.28766394"/>
    <n v="826492963.25954425"/>
    <n v="855420206.24618816"/>
    <n v="910167091.32024789"/>
    <n v="960226283.31182194"/>
    <n v="1015919410.0795022"/>
    <n v="982902027.73106611"/>
    <n v="1050427393.3182496"/>
    <n v="1124482524.5539756"/>
    <n v="1098037738.8561776"/>
    <n v="1091937250.0561049"/>
    <n v="1125167625.0493534"/>
    <n v="1195557048.7709494"/>
    <n v="1275249585.5849295"/>
    <n v="1350595613.5128765"/>
    <n v="1240786190.4758127"/>
    <n v="1305822857.8482223"/>
    <n v="1343336129.3654423"/>
    <n v="1324430251.830271"/>
    <n v="1378176608.9320412"/>
    <n v="1404959537.1217484"/>
    <n v="1472715273.8067536"/>
    <n v="1579264608.7779129"/>
    <n v="1677527292.2723289"/>
    <n v="1687449652.9567361"/>
    <n v="1776141480.122716"/>
    <n v="1863488944.3106415"/>
    <n v="1962179256.1582973"/>
  </r>
  <r>
    <x v="86"/>
    <s v="GNB"/>
    <s v="PIB (US$ a precios constantes de 2015)"/>
    <s v="NY.GDP.MKTP.KD"/>
    <m/>
    <m/>
    <m/>
    <m/>
    <m/>
    <m/>
    <m/>
    <m/>
    <m/>
    <m/>
    <n v="309755918.77766961"/>
    <n v="297641465.59438872"/>
    <n v="316615694.98762208"/>
    <n v="320129789.75861555"/>
    <n v="334725278.54171306"/>
    <n v="360986432.50920272"/>
    <n v="378831635.45747894"/>
    <n v="351669142.12264478"/>
    <n v="397829386.2739234"/>
    <n v="405762678.55281705"/>
    <n v="341032772.53218716"/>
    <n v="402989997.4916957"/>
    <n v="419915908.38135648"/>
    <n v="405645958.85347521"/>
    <n v="442597153.78090036"/>
    <n v="461037932.75543445"/>
    <n v="457377994.07042563"/>
    <n v="470641955.93252826"/>
    <n v="492291485.85059661"/>
    <n v="522321266.59319282"/>
    <n v="554182863.78434992"/>
    <n v="582446189.9636215"/>
    <n v="588853097.88541651"/>
    <n v="601219012.93914056"/>
    <n v="620458021.47614002"/>
    <n v="647758174.47093415"/>
    <n v="722898122.68547022"/>
    <n v="769886500.66002619"/>
    <n v="597079878.01955187"/>
    <n v="697478986.48138928"/>
    <n v="705153195.36735582"/>
    <n v="738901627.37245965"/>
    <n v="765900620.23397434"/>
    <n v="763710672.57260716"/>
    <n v="772660533.24165118"/>
    <n v="823345295.62686372"/>
    <n v="845299838.5443722"/>
    <n v="866938047.63691437"/>
    <n v="906163311.05770326"/>
    <n v="928345745.51426411"/>
    <n v="980382895.3970139"/>
    <n v="1059647261.0859097"/>
    <n v="1041496885.466182"/>
    <n v="1075408773.0144205"/>
    <n v="1085781367.5159707"/>
    <n v="1152384166.796375"/>
    <n v="1213536542.7089369"/>
    <n v="1271652706.0627091"/>
    <n v="1319485332.4852619"/>
    <n v="1378863398.7424419"/>
    <n v="1399546349.7235794"/>
    <n v="1489116653.0606813"/>
    <n v="1551659407.0252316"/>
    <n v="1617578278.9288015"/>
  </r>
  <r>
    <x v="87"/>
    <s v="GNQ"/>
    <s v="PIB (US$ a precios constantes de 2015)"/>
    <s v="NY.GDP.MKTP.KD"/>
    <m/>
    <m/>
    <m/>
    <m/>
    <m/>
    <m/>
    <m/>
    <m/>
    <m/>
    <m/>
    <m/>
    <m/>
    <m/>
    <m/>
    <m/>
    <m/>
    <m/>
    <m/>
    <m/>
    <m/>
    <n v="132086051.07654664"/>
    <n v="139706650.78898579"/>
    <n v="142782538.51488215"/>
    <n v="149927929.59019721"/>
    <n v="151444273.18888271"/>
    <n v="170988427.52998072"/>
    <n v="167003445.86168998"/>
    <n v="174412950.14080387"/>
    <n v="179044071.24742904"/>
    <n v="176843300.77101424"/>
    <n v="173733397.99698955"/>
    <n v="171957427.66015247"/>
    <n v="231704586.21442077"/>
    <n v="257269046.82917976"/>
    <n v="300152801.1451993"/>
    <n v="352638311.5536164"/>
    <n v="587424889.58827484"/>
    <n v="1468403404.7697177"/>
    <n v="1817508712.7692349"/>
    <n v="2283954429.4566116"/>
    <n v="2699948863.5552497"/>
    <n v="4411173089.8168955"/>
    <n v="5269712387.3253469"/>
    <n v="6005113941.9300146"/>
    <n v="8286980786.0940933"/>
    <n v="9674942387.180212"/>
    <n v="10420388726.597273"/>
    <n v="12012844402.649117"/>
    <n v="14151023687.8999"/>
    <n v="14341122354.436298"/>
    <n v="13061295371.138821"/>
    <n v="13913404306.227415"/>
    <n v="15070007775.40518"/>
    <n v="14447134439.883953"/>
    <n v="14507099626.490307"/>
    <n v="13185496881.017399"/>
    <n v="12023008461.848507"/>
    <n v="11341603434.73238"/>
    <n v="10634279338.581696"/>
    <n v="10051326714.932543"/>
    <n v="9569759527.14748"/>
    <n v="9652085293.2575397"/>
    <n v="10010757805.253231"/>
    <n v="9440987169.3572826"/>
  </r>
  <r>
    <x v="88"/>
    <s v="GRC"/>
    <s v="PIB (US$ a precios constantes de 2015)"/>
    <s v="NY.GDP.MKTP.KD"/>
    <n v="41774016875.982819"/>
    <n v="47289791565.765633"/>
    <n v="47462309725.128914"/>
    <n v="53084157175.794151"/>
    <n v="58079205290.132828"/>
    <n v="64333179958.025406"/>
    <n v="68511299278.56134"/>
    <n v="72395537481.705872"/>
    <n v="77610708515.492981"/>
    <n v="86585353027.87384"/>
    <n v="94317927816.048065"/>
    <n v="101713563510.5715"/>
    <n v="112047815104.74025"/>
    <n v="121115148324.00392"/>
    <n v="113317463990.86916"/>
    <n v="120532170308.80548"/>
    <n v="128790911614.12659"/>
    <n v="132578654371.66057"/>
    <n v="142186447962.64102"/>
    <n v="146853121313.33167"/>
    <n v="147847510036.91251"/>
    <n v="145550371219.62384"/>
    <n v="143901799272.06287"/>
    <n v="142349641775.67148"/>
    <n v="145211695738.29919"/>
    <n v="148855865308.7605"/>
    <n v="149626433106.4285"/>
    <n v="146246576134.82343"/>
    <n v="152517426493.78241"/>
    <n v="158313089124.38007"/>
    <n v="158313089124.38007"/>
    <n v="163220795274.45584"/>
    <n v="164363340582.86053"/>
    <n v="161733527639.47263"/>
    <n v="164968198192.26208"/>
    <n v="168432067479.94528"/>
    <n v="173252810009.65387"/>
    <n v="181021811215.54019"/>
    <n v="188072438329.15933"/>
    <n v="193851146493.27536"/>
    <n v="201449666605.46561"/>
    <n v="209772785177.23944"/>
    <n v="218001902488.38086"/>
    <n v="230634091749.11951"/>
    <n v="242306465817.46207"/>
    <n v="243758225711.40662"/>
    <n v="257536497407.64526"/>
    <n v="265967590445.39603"/>
    <n v="265076140108.78156"/>
    <n v="253675921785.91907"/>
    <n v="239780041723.27414"/>
    <n v="215444010389.58899"/>
    <n v="200176146628.86124"/>
    <n v="195139720340.7796"/>
    <n v="196067992081.69522"/>
    <n v="195683527003.37451"/>
    <n v="194730209118.46591"/>
    <n v="196856953384.06396"/>
    <n v="200141371166.33035"/>
    <n v="203903008195.06082"/>
    <n v="184906515414.09872"/>
    <n v="200401577457.97839"/>
    <n v="211538468429.43149"/>
    <n v="215793609025.32169"/>
  </r>
  <r>
    <x v="89"/>
    <s v="GRD"/>
    <s v="PIB (US$ a precios constantes de 2015)"/>
    <s v="NY.GDP.MKTP.KD"/>
    <m/>
    <m/>
    <m/>
    <m/>
    <m/>
    <m/>
    <m/>
    <m/>
    <m/>
    <m/>
    <m/>
    <m/>
    <m/>
    <m/>
    <m/>
    <m/>
    <m/>
    <n v="294935712.54433382"/>
    <n v="310689414.96455431"/>
    <n v="328094495.50826985"/>
    <n v="326339898.48376989"/>
    <n v="331346564.40885687"/>
    <n v="345012163.68587929"/>
    <n v="357544988.86394733"/>
    <n v="370303857.5108279"/>
    <n v="392446947.51446468"/>
    <n v="420680655.48708969"/>
    <n v="458951762.78689575"/>
    <n v="472567905.61798352"/>
    <n v="490372992.07684946"/>
    <n v="510049757.10041505"/>
    <n v="517116730.1603266"/>
    <n v="512715297.5424751"/>
    <n v="502672150.40579963"/>
    <n v="511185184.99145907"/>
    <n v="522070746.47428173"/>
    <n v="545241471.58655894"/>
    <n v="572588028.20201862"/>
    <n v="639887179.22811389"/>
    <n v="684028916.01796412"/>
    <n v="717463922.03278041"/>
    <n v="702943169.42260349"/>
    <n v="727105600.38447118"/>
    <n v="795918681.21846116"/>
    <n v="790765503.20113385"/>
    <n v="895749020.65974832"/>
    <n v="859960907.03951442"/>
    <n v="912620191.34902132"/>
    <n v="921267656.66556752"/>
    <n v="860341634.56218874"/>
    <n v="855944031.10045612"/>
    <n v="862490064.65601552"/>
    <n v="852529700.2278142"/>
    <n v="872573509.10232258"/>
    <n v="936638937.78604817"/>
    <n v="997007407.40740728"/>
    <n v="1034291535.8551226"/>
    <n v="1080200382.6086304"/>
    <n v="1127312678.4280632"/>
    <n v="1134939081.0314412"/>
    <n v="978809798.80448759"/>
    <n v="1024691294.442861"/>
    <n v="1099706286.2188244"/>
    <n v="1152594316.5676591"/>
  </r>
  <r>
    <x v="90"/>
    <s v="GRL"/>
    <s v="PIB (US$ a precios constantes de 2015)"/>
    <s v="NY.GDP.MKTP.KD"/>
    <m/>
    <m/>
    <m/>
    <m/>
    <m/>
    <m/>
    <m/>
    <m/>
    <m/>
    <m/>
    <n v="713408661.20170951"/>
    <n v="806585905.96937096"/>
    <n v="856410923.89451873"/>
    <n v="914698328.3705492"/>
    <n v="966893338.26946735"/>
    <n v="973141791.14350593"/>
    <n v="1031133339.5516062"/>
    <n v="1122103173.7353063"/>
    <n v="1189616948.4360702"/>
    <n v="1247439439.6114149"/>
    <n v="1355667363.5731585"/>
    <n v="1364686341.4837482"/>
    <n v="1304371833.6637237"/>
    <n v="1349466794.1090379"/>
    <n v="1279569603.0571775"/>
    <n v="1326355632.1988332"/>
    <n v="1420491372.1784229"/>
    <n v="1498843859.4445949"/>
    <n v="1582833234.4960699"/>
    <n v="1688242726.4038377"/>
    <n v="1490388563.2302833"/>
    <n v="1488697499.8421383"/>
    <n v="1412599749.261565"/>
    <n v="1341575185.5452647"/>
    <n v="1421055060.7020199"/>
    <n v="1474041620.8582919"/>
    <n v="1496589112.2124472"/>
    <n v="1518572904.4964561"/>
    <n v="1636383513.2091579"/>
    <n v="1658930987.1021397"/>
    <n v="1776741578.353668"/>
    <n v="1799289052.2466495"/>
    <n v="1781814765.2179408"/>
    <n v="1860749973.9838693"/>
    <n v="1989264212.3221724"/>
    <n v="2088478601.2132378"/>
    <n v="2204508100.3651433"/>
    <n v="2256367786.2163339"/>
    <n v="2395498418.1564965"/>
    <n v="2416242292.496973"/>
    <n v="2458184031.6937943"/>
    <n v="2445978671.2863932"/>
    <n v="2480080343.4976306"/>
    <n v="2447881939.2183056"/>
    <n v="2563963821.891273"/>
    <n v="2499113022.8167543"/>
    <n v="2616120347.695147"/>
    <n v="2617499780.4164414"/>
    <n v="2633808516.6403513"/>
    <n v="2708402650.6323662"/>
    <n v="2713483852.1753616"/>
    <n v="2748493505.4183369"/>
    <m/>
    <m/>
  </r>
  <r>
    <x v="91"/>
    <s v="GTM"/>
    <s v="PIB (US$ a precios constantes de 2015)"/>
    <s v="NY.GDP.MKTP.KD"/>
    <n v="7658203953.9458971"/>
    <n v="7987393256.0907211"/>
    <n v="8269867519.4610577"/>
    <n v="9058899212.4910202"/>
    <n v="9478597327.4196224"/>
    <n v="9892031877.094614"/>
    <n v="10437290960.903166"/>
    <n v="10866490694.868954"/>
    <n v="11819051078.348541"/>
    <n v="12378908774.465559"/>
    <n v="13085482478.029484"/>
    <n v="13816143700.941488"/>
    <n v="14829288650.509747"/>
    <n v="15835134733.102221"/>
    <n v="16844629307.497169"/>
    <n v="17173098032.92312"/>
    <n v="18441720400.616104"/>
    <n v="19881875044.635811"/>
    <n v="20875310670.925957"/>
    <n v="21859259273.40995"/>
    <n v="22681162648.100346"/>
    <n v="22827877701.635723"/>
    <n v="22022033299.7771"/>
    <n v="21455606465.404018"/>
    <n v="21562175980.533703"/>
    <n v="21430789242.612679"/>
    <n v="21461445899.942074"/>
    <n v="22222035959.973675"/>
    <n v="23087003612.936646"/>
    <n v="23997229397.821556"/>
    <n v="24741758600.276833"/>
    <n v="25646873675.016327"/>
    <n v="26887756327.046631"/>
    <n v="27943673995.070656"/>
    <n v="29070849568.632629"/>
    <n v="30509434368.801559"/>
    <n v="31411836282.323658"/>
    <n v="32782677071.620609"/>
    <n v="34419689165.778862"/>
    <n v="35743836013.214203"/>
    <n v="37033784129.525154"/>
    <n v="37897624870.091942"/>
    <n v="39352623487.466354"/>
    <n v="40360199271.019028"/>
    <n v="41626668759.024582"/>
    <n v="42990369635.920792"/>
    <n v="45290955325.290169"/>
    <n v="48161368665.894028"/>
    <n v="49747574901.770912"/>
    <n v="49984820144.555077"/>
    <n v="51426470044.89621"/>
    <n v="53567820370.745369"/>
    <n v="55161306913.260094"/>
    <n v="57199417471.409882"/>
    <n v="59741346761.361664"/>
    <n v="62186064718.742386"/>
    <n v="63851284748.838951"/>
    <n v="65817809494.362755"/>
    <n v="68060138938.47538"/>
    <n v="70794725855.022446"/>
    <n v="69526185112.429016"/>
    <n v="75089954137.262268"/>
    <n v="78182161579.310547"/>
    <n v="80906407059.099869"/>
  </r>
  <r>
    <x v="92"/>
    <s v="GUM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00664422.2020025"/>
    <n v="4842877343.0391273"/>
    <n v="5157363603.2757063"/>
    <n v="5345211101.0009117"/>
    <n v="5149976342.1292105"/>
    <n v="5186912647.8616943"/>
    <n v="5292444949.9545059"/>
    <n v="5315662056.4149246"/>
    <n v="5435968880.8007298"/>
    <n v="5440190172.8844414"/>
    <n v="5556275705.1865339"/>
    <n v="5650199454.0491362"/>
    <n v="5751510464.0582352"/>
    <n v="5799000000"/>
    <n v="5809553230.209281"/>
    <n v="5861264058.2347584"/>
    <n v="5812719199.2720652"/>
    <n v="5959409099.1810732"/>
    <n v="5332547224.7497721"/>
    <n v="5442300818.9262962"/>
    <n v="5719850773.4303913"/>
    <m/>
  </r>
  <r>
    <x v="93"/>
    <s v="GUY"/>
    <s v="PIB (US$ a precios constantes de 2015)"/>
    <s v="NY.GDP.MKTP.KD"/>
    <n v="1555849243.7100849"/>
    <n v="1628811172.246479"/>
    <n v="1646808327.2775366"/>
    <n v="1444602377.0295858"/>
    <n v="1608713286.3274515"/>
    <n v="1778288055.6640399"/>
    <n v="1871350740.2417097"/>
    <n v="1952073734.2744441"/>
    <n v="1972079123.7602537"/>
    <n v="2110013962.8686173"/>
    <n v="2199804697.4954376"/>
    <n v="2268281336.5874734"/>
    <n v="2193027225.9630742"/>
    <n v="2220324260.2462144"/>
    <n v="2391352284.3697348"/>
    <n v="2594211213.1220064"/>
    <n v="2634081989.7314992"/>
    <n v="2564577004.0123901"/>
    <n v="2518255902.1122999"/>
    <n v="2472028372.6862845"/>
    <n v="2514890618.6942387"/>
    <n v="2552517555.0615473"/>
    <n v="2215837056.7070618"/>
    <n v="2065328835.4096951"/>
    <n v="1961468862.2541833"/>
    <n v="2008537592.2420399"/>
    <n v="1990448657.7497857"/>
    <n v="2008350685.183672"/>
    <n v="1934171587.8470984"/>
    <n v="1839074818.1412334"/>
    <n v="1782661480.134028"/>
    <n v="1890652727.1375377"/>
    <n v="2037327406.1311197"/>
    <n v="2203881070.8209591"/>
    <n v="2391925529.8736024"/>
    <n v="2512273984.6192417"/>
    <n v="2712138382.1499119"/>
    <n v="2879766586.4364696"/>
    <n v="2831412296.3274574"/>
    <n v="2915226398.4707365"/>
    <n v="2875468427.0782213"/>
    <n v="2941015352.6774759"/>
    <n v="2974326085.5183063"/>
    <n v="2955521640.8758297"/>
    <n v="3001726850.8200297"/>
    <n v="2943164432.8422875"/>
    <n v="3094137270.7084298"/>
    <n v="3316643991.4527392"/>
    <n v="3374858506.0667429"/>
    <n v="3496741806.9376283"/>
    <n v="3641452424.5685515"/>
    <n v="3830671453.0056434"/>
    <n v="4032790343.8501096"/>
    <n v="4180123674.4704843"/>
    <n v="4250621228.2517514"/>
    <n v="4279840193.7046003"/>
    <n v="4442793237.2399282"/>
    <n v="4608708975.0781546"/>
    <n v="4813377725.7734756"/>
    <n v="5071030135.7316179"/>
    <n v="7275896377.2041798"/>
    <n v="8731623508.2472572"/>
    <n v="14270953618.873106"/>
    <n v="18982777676.395844"/>
  </r>
  <r>
    <x v="94"/>
    <s v="HIC"/>
    <s v="PIB (US$ a precios constantes de 2015)"/>
    <s v="NY.GDP.MKTP.KD"/>
    <n v="9334117926093.041"/>
    <n v="9751359206031.7324"/>
    <n v="10298025756893.217"/>
    <n v="10818416029554.309"/>
    <n v="11508591379141.049"/>
    <n v="12143820463585.074"/>
    <n v="12814356125812.018"/>
    <n v="13303963419398.996"/>
    <n v="14088184289637.781"/>
    <n v="14879491622820.109"/>
    <n v="15328710008977.563"/>
    <n v="15937436114589.246"/>
    <n v="16820686454993.4"/>
    <n v="17884225148602.008"/>
    <n v="18090578875671.637"/>
    <n v="18054412515309.848"/>
    <n v="18957957141125.727"/>
    <n v="19698123480743.941"/>
    <n v="20520244106888.98"/>
    <n v="21361815090104.871"/>
    <n v="21638094056785.113"/>
    <n v="22055821434817.895"/>
    <n v="22000619326807.734"/>
    <n v="22617118880050.75"/>
    <n v="23675823750453.156"/>
    <n v="24514035720522.824"/>
    <n v="25317183801851.242"/>
    <n v="26206975476299.457"/>
    <n v="27441495622233.746"/>
    <n v="28503484135626.762"/>
    <n v="29268157099069.375"/>
    <n v="29532409198554.789"/>
    <n v="29977786674259.453"/>
    <n v="30294213280364.949"/>
    <n v="31167501738224.602"/>
    <n v="32012183362413.449"/>
    <n v="32939386943368.961"/>
    <n v="34084890991972.832"/>
    <n v="35016579851251.773"/>
    <n v="36250819196319.211"/>
    <n v="37794769217440.305"/>
    <n v="38393074013085.641"/>
    <n v="39015249202803.734"/>
    <n v="39914637225183.93"/>
    <n v="41316993639617.695"/>
    <n v="42545983620263.289"/>
    <n v="43916086523064.813"/>
    <n v="45170625278205.711"/>
    <n v="45475926787373.359"/>
    <n v="43939509714130.148"/>
    <n v="45278935441459.078"/>
    <n v="46192597212675.117"/>
    <n v="46872962482685.547"/>
    <n v="47621972302268.008"/>
    <n v="48641924544463.602"/>
    <n v="49773105280474.141"/>
    <n v="50685466661730.305"/>
    <n v="51940600203999.695"/>
    <n v="53171589543059.008"/>
    <n v="54153045133853.852"/>
    <n v="52033132522339.063"/>
    <n v="54938854205393.617"/>
    <n v="56390111344530.859"/>
    <n v="57317255192081.609"/>
  </r>
  <r>
    <x v="95"/>
    <s v="HKG"/>
    <s v="PIB (US$ a precios constantes de 2015)"/>
    <s v="NY.GDP.MKTP.KD"/>
    <m/>
    <n v="12533092837.198633"/>
    <n v="14324208845.130306"/>
    <n v="16582182158.387527"/>
    <n v="18012911030.477413"/>
    <n v="20650378558.640533"/>
    <n v="21021009851.329948"/>
    <n v="21358031101.328274"/>
    <n v="22083639694.22084"/>
    <n v="24588738903.566311"/>
    <n v="26852582464.005878"/>
    <n v="28810942965.191498"/>
    <n v="31868305821.221382"/>
    <n v="35781688839.900703"/>
    <n v="36645881307.45105"/>
    <n v="36826132426.814903"/>
    <n v="42778793275.487495"/>
    <n v="47794861941.360786"/>
    <n v="51743121134.47641"/>
    <n v="57722946264.228111"/>
    <n v="63557741757.71003"/>
    <n v="69443758035.430084"/>
    <n v="71492244096.297623"/>
    <n v="75765323633.503159"/>
    <n v="83321943197.58786"/>
    <n v="83952822115.361359"/>
    <n v="93234718836.626694"/>
    <n v="105726719943.54889"/>
    <n v="114725693771.20224"/>
    <n v="117337953767.34706"/>
    <n v="121832606359.96475"/>
    <n v="128779410834.40085"/>
    <n v="136808642848.10753"/>
    <n v="145292416158.3454"/>
    <n v="154062450345.88718"/>
    <n v="157719499237.60397"/>
    <n v="164436097940.18332"/>
    <n v="172821918694.49615"/>
    <n v="162655341191.9852"/>
    <n v="166732630720.22653"/>
    <n v="179510086984.25113"/>
    <n v="180516776824.58084"/>
    <n v="183507380006.77228"/>
    <n v="189115883226.51901"/>
    <n v="205569150152.66672"/>
    <n v="220756860848.0318"/>
    <n v="236281938102.05298"/>
    <n v="251557126990.72363"/>
    <n v="256910216906.59521"/>
    <n v="250592564806.64371"/>
    <n v="267551824019.33261"/>
    <n v="280433678600.89429"/>
    <n v="285201930753.36377"/>
    <n v="294047587536.96051"/>
    <n v="302170283094.04108"/>
    <n v="309385622601.34808"/>
    <n v="316116033650.23877"/>
    <n v="328116085022.70306"/>
    <n v="337457259730.2215"/>
    <n v="331813535027.38074"/>
    <n v="310097073539.27148"/>
    <n v="330111969064.70142"/>
    <n v="317961363117.44281"/>
    <n v="328183995725.40088"/>
  </r>
  <r>
    <x v="96"/>
    <s v="HND"/>
    <s v="PIB (US$ a precios constantes de 2015)"/>
    <s v="NY.GDP.MKTP.KD"/>
    <n v="2488221554.71134"/>
    <n v="2534394469.9140038"/>
    <n v="2680498409.1646304"/>
    <n v="2776471958.1516647"/>
    <n v="2926863603.5074749"/>
    <n v="3191368847.5631361"/>
    <n v="3362867975.7072978"/>
    <n v="3563884850.2188621"/>
    <n v="3799036503.2627869"/>
    <n v="3823936864.3005567"/>
    <n v="3962620383.3023963"/>
    <n v="4120927210.5443821"/>
    <n v="4358387600.3987083"/>
    <n v="4701386276.0700827"/>
    <n v="4643670096.1984653"/>
    <n v="4742611928.0635338"/>
    <n v="5240619049.4913588"/>
    <n v="5784799119.2310352"/>
    <n v="6129932487.3047791"/>
    <n v="6473817206.131588"/>
    <n v="6512618291.9095078"/>
    <n v="6433031815.4028234"/>
    <n v="6299568219.9563532"/>
    <n v="6356623024.0362272"/>
    <n v="6758825363.1700687"/>
    <n v="7139092751.1495409"/>
    <n v="7519661681.171957"/>
    <n v="8018843592.0901508"/>
    <n v="8158855312.1167831"/>
    <n v="8381416559.3934679"/>
    <n v="8615404668.1517429"/>
    <n v="8329432815.3230124"/>
    <n v="8835336566.4551601"/>
    <n v="9409255132.5571327"/>
    <n v="9429193673.3792267"/>
    <n v="10012795187.149897"/>
    <n v="10200112185.866018"/>
    <n v="10669121816.638832"/>
    <n v="11052168152.492594"/>
    <n v="10970862757.513277"/>
    <n v="11770779974.658651"/>
    <n v="12091321063.133352"/>
    <n v="12545270107.725744"/>
    <n v="13115708313.206804"/>
    <n v="13933118990.726389"/>
    <n v="14776156180.001871"/>
    <n v="15746542343.933376"/>
    <n v="16720989901.631535"/>
    <n v="17428555328.717682"/>
    <n v="17004757718.284252"/>
    <n v="17639229093.96674"/>
    <n v="18315815357.186047"/>
    <n v="19072018181.907093"/>
    <n v="19604424966.410194"/>
    <n v="20203944075.628029"/>
    <n v="20979791685.416042"/>
    <n v="21796529142.77322"/>
    <n v="22852116284.635612"/>
    <n v="23730778960.538155"/>
    <n v="24338200129.367191"/>
    <n v="22156260473.816906"/>
    <n v="24940257609.689186"/>
    <n v="25973672631.776558"/>
    <n v="26904206369.372776"/>
  </r>
  <r>
    <x v="97"/>
    <s v="HPC"/>
    <s v="PIB (US$ a precios constantes de 2015)"/>
    <s v="NY.GDP.MKTP.KD"/>
    <n v="120066162798.87973"/>
    <n v="119867669303.28636"/>
    <n v="128551873257.5842"/>
    <n v="132923533376.2547"/>
    <n v="137424524837.46092"/>
    <n v="142797877199.10309"/>
    <n v="148399163417.35516"/>
    <n v="152016809060.1622"/>
    <n v="158957911510.93619"/>
    <n v="166121017926.95663"/>
    <n v="166147945104.88922"/>
    <n v="173732695289.2717"/>
    <n v="177491249233.67017"/>
    <n v="183213030448.87527"/>
    <n v="192756491176.90982"/>
    <n v="196706393478.43021"/>
    <n v="204321692723.90796"/>
    <n v="211722235578.08264"/>
    <n v="217108182755.00354"/>
    <n v="218412181337.32471"/>
    <n v="219770653169.79819"/>
    <n v="226061186764.51855"/>
    <n v="227339444785.24551"/>
    <n v="228065961337.94785"/>
    <n v="230893836366.21341"/>
    <n v="234426159682.46222"/>
    <n v="241740523740.71664"/>
    <n v="249711113344.42447"/>
    <n v="252958727216.40555"/>
    <n v="256756115930.59549"/>
    <n v="254026385147.05374"/>
    <n v="255159071812.58478"/>
    <n v="252283192366.18231"/>
    <n v="253487934380.94684"/>
    <n v="253020581224.5325"/>
    <n v="265679845820.37198"/>
    <n v="279307507636.73865"/>
    <n v="294894824424.48169"/>
    <n v="305257234847.15179"/>
    <n v="314828611477.09229"/>
    <n v="323924004418.90631"/>
    <n v="335678324590.22931"/>
    <n v="348470210795.69055"/>
    <n v="362021558247.03009"/>
    <n v="382502553057.80328"/>
    <n v="403804364291.18909"/>
    <n v="427477665472.63733"/>
    <n v="450819976255.60114"/>
    <n v="476252880936.84802"/>
    <n v="494055780287.83307"/>
    <n v="524195712449.45514"/>
    <n v="547585576311.77582"/>
    <n v="569363673017.79932"/>
    <n v="601478542375.33911"/>
    <n v="636640330805.37231"/>
    <n v="667302120360.80334"/>
    <n v="696950142583.67529"/>
    <n v="731821858119.64746"/>
    <n v="762509175239.50903"/>
    <n v="796219596964.02905"/>
    <n v="798100674870.17822"/>
    <n v="831582055492.63831"/>
    <n v="871467732876.90125"/>
    <n v="909915267708.02222"/>
  </r>
  <r>
    <x v="98"/>
    <s v="HRV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608351947.767624"/>
    <n v="36779270104.415031"/>
    <n v="32471207368.854336"/>
    <n v="29865203976.003731"/>
    <n v="31618433230.852524"/>
    <n v="33755357830.350807"/>
    <n v="35796634886.892029"/>
    <n v="38005065643.559845"/>
    <n v="38859030274.922966"/>
    <n v="38526446260.819008"/>
    <n v="39665393811.431618"/>
    <n v="40903296989.815895"/>
    <n v="43284105193.901741"/>
    <n v="45707856479.534714"/>
    <n v="47618421359.203903"/>
    <n v="49669581507.743744"/>
    <n v="52191224410.772354"/>
    <n v="54839940442.046944"/>
    <n v="55947444988.222664"/>
    <n v="51910769582.395348"/>
    <n v="51274933180.370285"/>
    <n v="51245067108.099686"/>
    <n v="50067324785.006668"/>
    <n v="49913699105.854057"/>
    <n v="49743152666.072716"/>
    <n v="51011170111.848686"/>
    <n v="52872668469.234131"/>
    <n v="54651729765.773491"/>
    <n v="56282196854.124077"/>
    <n v="58219847954.137726"/>
    <n v="53259261827.546013"/>
    <n v="60204878581.88166"/>
    <n v="64435611395.451294"/>
    <n v="66407902523.779381"/>
  </r>
  <r>
    <x v="99"/>
    <s v="HTI"/>
    <s v="PIB (US$ a precios constantes de 2015)"/>
    <s v="NY.GDP.MKTP.KD"/>
    <n v="6694501128.5574493"/>
    <n v="6498219674.8694429"/>
    <n v="7010771683.4742317"/>
    <n v="6878072319.3119326"/>
    <n v="6764765888.1231728"/>
    <n v="6911006452.4246454"/>
    <n v="6871213789.4521351"/>
    <n v="6725703043.1873312"/>
    <n v="6939689176.2013092"/>
    <n v="7204226191.7440815"/>
    <n v="7251136777.7267923"/>
    <n v="7721038031.5948524"/>
    <n v="7796480893.274333"/>
    <n v="8167228671.566534"/>
    <n v="8639285435.549448"/>
    <n v="8736283400.7710896"/>
    <n v="9473523979.6285572"/>
    <n v="9824816121.5119553"/>
    <n v="10434825547.207256"/>
    <n v="11223742331.105692"/>
    <n v="12051458300.901295"/>
    <n v="11707665179.616093"/>
    <n v="11290433820.895458"/>
    <n v="11392971447.753765"/>
    <n v="11427254839.773611"/>
    <n v="11496233326.073856"/>
    <n v="11439039014.79418"/>
    <n v="11348253230.338228"/>
    <n v="11370998175.379536"/>
    <n v="11039712740.233715"/>
    <n v="11154318515.463446"/>
    <n v="11364080463.800001"/>
    <n v="10760655413.911957"/>
    <n v="10176750400.457369"/>
    <n v="8960564685.9275169"/>
    <n v="9847455167.8277225"/>
    <n v="10255215964.959808"/>
    <n v="10532590219.795433"/>
    <n v="10762394520.959404"/>
    <n v="11054082104.344252"/>
    <n v="11150259169.23753"/>
    <n v="11112041891.95784"/>
    <n v="11228920585.931648"/>
    <n v="11619774577.796024"/>
    <n v="11466642593.066505"/>
    <n v="11818917734.005995"/>
    <n v="12027964912.680347"/>
    <n v="12594064682.478329"/>
    <n v="12928818990.663616"/>
    <n v="13690375422.771986"/>
    <n v="12916662276.640003"/>
    <n v="13575181302.273365"/>
    <n v="13643386325.966433"/>
    <n v="14233433330.502903"/>
    <n v="14644604839.589191"/>
    <n v="14849629308.602478"/>
    <n v="15118774099.592813"/>
    <n v="15498296353.597733"/>
    <n v="15756778637.99762"/>
    <n v="15485274058.24296"/>
    <n v="14973407477.256065"/>
    <n v="14704149691.210394"/>
    <n v="14456828250.629444"/>
    <n v="14187369712.676411"/>
  </r>
  <r>
    <x v="100"/>
    <s v="HUN"/>
    <s v="PIB (US$ a precios constantes de 2015)"/>
    <s v="NY.GDP.MKTP.KD"/>
    <n v="20724517597.712296"/>
    <n v="21698569924.804813"/>
    <n v="23022182690.217861"/>
    <n v="24334447103.560272"/>
    <n v="25478166117.42765"/>
    <n v="36283561915.508934"/>
    <n v="38968545497.256851"/>
    <n v="41891186409.55098"/>
    <n v="43943854543.618797"/>
    <n v="46975980507.128586"/>
    <n v="49183851590.963806"/>
    <n v="52233250389.603424"/>
    <n v="55419478663.368919"/>
    <n v="59243422691.141556"/>
    <n v="62738784629.918823"/>
    <n v="66628589276.973846"/>
    <n v="69027218490.944992"/>
    <n v="74273287096.256943"/>
    <n v="77541311728.492004"/>
    <n v="79634927145.161392"/>
    <n v="79794196999.45224"/>
    <n v="82081693119.957016"/>
    <n v="84413706698.636185"/>
    <n v="85023988989.214966"/>
    <n v="87283967158.247223"/>
    <n v="87063079818.046204"/>
    <n v="88399453538.608627"/>
    <n v="91980718366.005371"/>
    <n v="91920688857.966385"/>
    <n v="92597615626.798157"/>
    <n v="89359792060.773804"/>
    <n v="78733089074.848068"/>
    <n v="76320565233.189835"/>
    <n v="75880875956.073853"/>
    <n v="78117202649.172577"/>
    <n v="79280778283.944763"/>
    <n v="79346116187.697449"/>
    <n v="81840061575.362686"/>
    <n v="85031827660.58371"/>
    <n v="87643177933.108383"/>
    <n v="91568886542.024277"/>
    <n v="95299483590.344818"/>
    <n v="99817905184.68132"/>
    <n v="103884735932.98308"/>
    <n v="109083772922.95023"/>
    <n v="113768132959.82384"/>
    <n v="118257499574.87938"/>
    <n v="118585513679.9334"/>
    <n v="119776044677.93756"/>
    <n v="111873380290.51398"/>
    <n v="113077422068.68158"/>
    <n v="115188393760.12456"/>
    <n v="113748278485.31766"/>
    <n v="115798616344.32082"/>
    <n v="120699456740.62273"/>
    <n v="125174166987.37169"/>
    <n v="127929252772.23383"/>
    <n v="133394359768.37642"/>
    <n v="140547430034.09918"/>
    <n v="147383974295.86609"/>
    <n v="140770787502.3494"/>
    <n v="150710923361.94327"/>
    <n v="157618619387.2894"/>
    <n v="156187937314.84885"/>
  </r>
  <r>
    <x v="101"/>
    <s v="IBD"/>
    <s v="PIB (US$ a precios constantes de 2015)"/>
    <s v="NY.GDP.MKTP.KD"/>
    <n v="1860556270114.0769"/>
    <n v="1882256429789.2766"/>
    <n v="1940700968486.6174"/>
    <n v="2032626879136.6389"/>
    <n v="2199521787785.7549"/>
    <n v="2335728023111.1104"/>
    <n v="2467240526813.8325"/>
    <n v="2569160754445.1343"/>
    <n v="2732432170291.812"/>
    <n v="2948297110454.8911"/>
    <n v="3175358995050.0293"/>
    <n v="3369547570310.6758"/>
    <n v="3593948055056.0571"/>
    <n v="3846933852477.4629"/>
    <n v="4068309120102.9307"/>
    <n v="4258847651786.771"/>
    <n v="4527276446407.5264"/>
    <n v="4737798775783.1602"/>
    <n v="4932173795512.5791"/>
    <n v="5169815916759.7119"/>
    <n v="5431517125943.1641"/>
    <n v="5550280538997.6572"/>
    <n v="5709421158991.1826"/>
    <n v="5807002086168.6201"/>
    <n v="6091992957295.417"/>
    <n v="6363250879058.2988"/>
    <n v="6607852963320.0049"/>
    <n v="6929458573553.3604"/>
    <n v="7208728390995.4521"/>
    <n v="7439406170283.5625"/>
    <n v="7584172036234.1709"/>
    <n v="7670374900706.2617"/>
    <n v="7790107881556.2793"/>
    <n v="8078584875365.9229"/>
    <n v="8370625074001.9258"/>
    <n v="8704292543708.2578"/>
    <n v="9181162286403.252"/>
    <n v="9672905884434.1934"/>
    <n v="9930390252498.1367"/>
    <n v="10302344781093.158"/>
    <n v="10909314585916.682"/>
    <n v="11304500632342.242"/>
    <n v="11821363500639.65"/>
    <n v="12523926187933.4"/>
    <n v="13480427821673.441"/>
    <n v="14448926263686.9"/>
    <n v="15647743894579.301"/>
    <n v="17048051774749.021"/>
    <n v="18054811527377.012"/>
    <n v="18557879518282.086"/>
    <n v="20008330828123.988"/>
    <n v="21285109072867.871"/>
    <n v="22444438412665.875"/>
    <n v="23616436521595.527"/>
    <n v="24748306277999.07"/>
    <n v="25838353087075.68"/>
    <n v="27015709147664.43"/>
    <n v="28431778162087.285"/>
    <n v="29835075605856.141"/>
    <n v="31023699367173.793"/>
    <n v="30588993917249.559"/>
    <n v="32922470107672.473"/>
    <n v="34108234968472.414"/>
    <n v="35625218077923.383"/>
  </r>
  <r>
    <x v="102"/>
    <s v="IBT"/>
    <s v="PIB (US$ a precios constantes de 2015)"/>
    <s v="NY.GDP.MKTP.KD"/>
    <n v="2164725718875.9929"/>
    <n v="2190011249717.0317"/>
    <n v="2267727432615.4106"/>
    <n v="2375653631201.7065"/>
    <n v="2558075246783.8511"/>
    <n v="2709590983612.9634"/>
    <n v="2845878514529.5508"/>
    <n v="2936652130855.0137"/>
    <n v="3113728923294.0083"/>
    <n v="3364273365018.3364"/>
    <n v="3625889323850.5107"/>
    <n v="3848952825692.6987"/>
    <n v="4079333065243.1821"/>
    <n v="4350894931751.0884"/>
    <n v="4610535960218.3682"/>
    <n v="4794933007973.2988"/>
    <n v="5092119809088.4561"/>
    <n v="5325026111270.9795"/>
    <n v="5523890650002.4365"/>
    <n v="5781230255286.3779"/>
    <n v="6063213511362.8252"/>
    <n v="6176028057141.9121"/>
    <n v="6331421957389.8682"/>
    <n v="6420719821553.4531"/>
    <n v="6712214108547.5869"/>
    <n v="7008910610736.9082"/>
    <n v="7271984787188.5801"/>
    <n v="7616500877939.3604"/>
    <n v="7929143718667.7471"/>
    <n v="8174547492398.8369"/>
    <n v="8348125114487.8311"/>
    <n v="8448745362930.4727"/>
    <n v="8585119172955.834"/>
    <n v="8881507745339.3027"/>
    <n v="9181792334021.3223"/>
    <n v="9544588389206.6094"/>
    <n v="10062263349555.047"/>
    <n v="10587318882827.047"/>
    <n v="10876206056599.063"/>
    <n v="11275853142457.492"/>
    <n v="11921363640663.223"/>
    <n v="12357349960384.145"/>
    <n v="12931568213697.717"/>
    <n v="13688675403143.531"/>
    <n v="14723122551640.363"/>
    <n v="15768606449217.373"/>
    <n v="17047820219477.902"/>
    <n v="18531331006244.461"/>
    <n v="19612792631019.289"/>
    <n v="20195241434918.551"/>
    <n v="21746862244629.816"/>
    <n v="23095920572871.055"/>
    <n v="24316455040468.785"/>
    <n v="25586565149927"/>
    <n v="26826569078779.801"/>
    <n v="27987288576613.141"/>
    <n v="29234112352656.195"/>
    <n v="30737452731230.41"/>
    <n v="32240518632986.43"/>
    <n v="33523407253634.969"/>
    <n v="33069019254697.277"/>
    <n v="35511715029236.844"/>
    <n v="36809151895056.609"/>
    <n v="38415216612247"/>
  </r>
  <r>
    <x v="103"/>
    <s v="IDA"/>
    <s v="PIB (US$ a precios constantes de 2015)"/>
    <s v="NY.GDP.MKTP.KD"/>
    <n v="285571678941.90479"/>
    <n v="288935547766.33612"/>
    <n v="306090810080.47784"/>
    <n v="321019026703.65375"/>
    <n v="336731638117.78259"/>
    <n v="351776909082.43243"/>
    <n v="357764593917.06445"/>
    <n v="349607811769.81274"/>
    <n v="363697311009.8454"/>
    <n v="396308521664.42871"/>
    <n v="428973303398.0954"/>
    <n v="456323604714.05981"/>
    <n v="464812943980.25348"/>
    <n v="484372538388.82916"/>
    <n v="520066093224.35583"/>
    <n v="517805218051.39258"/>
    <n v="546229079655.3363"/>
    <n v="568373627497.17822"/>
    <n v="575277992052.06543"/>
    <n v="595616805350.84924"/>
    <n v="616839434747.37048"/>
    <n v="613665888346.44617"/>
    <n v="612971979368.19189"/>
    <n v="607628976316.1051"/>
    <n v="617697255953.73157"/>
    <n v="643373446640.97815"/>
    <n v="662831449376.75171"/>
    <n v="687319558167.94214"/>
    <n v="719667068685.71265"/>
    <n v="735872761877.19568"/>
    <n v="764331434339.37549"/>
    <n v="778815853351.30151"/>
    <n v="795512764553.34717"/>
    <n v="803236759997.09253"/>
    <n v="811293501088.88562"/>
    <n v="840396419482.57898"/>
    <n v="881145159450.19189"/>
    <n v="914294975125.57788"/>
    <n v="945780193484.18872"/>
    <n v="973377719334.23718"/>
    <n v="1011682783837.3507"/>
    <n v="1052495981852.0077"/>
    <n v="1109893537728.2695"/>
    <n v="1164347173968.1602"/>
    <n v="1242192305325.197"/>
    <n v="1319063856711.0127"/>
    <n v="1399224733705.8464"/>
    <n v="1482085089997.2607"/>
    <n v="1556634861543.9365"/>
    <n v="1635674734565.8174"/>
    <n v="1736938472856.874"/>
    <n v="1809443023149.9329"/>
    <n v="1870889305380.8438"/>
    <n v="1968939407068.7256"/>
    <n v="2076887506349.8105"/>
    <n v="2147696040031.4497"/>
    <n v="2217375113101.667"/>
    <n v="2304865679841.4917"/>
    <n v="2404726308084.9526"/>
    <n v="2498977369994.8999"/>
    <n v="2479160616014.6543"/>
    <n v="2589067047991.9321"/>
    <n v="2700663566925.3003"/>
    <n v="2789685839440.3501"/>
  </r>
  <r>
    <x v="104"/>
    <s v="IDB"/>
    <s v="PIB (US$ a precios constantes de 2015)"/>
    <s v="NY.GDP.MKTP.KD"/>
    <n v="115675553009.38513"/>
    <n v="117250446711.20641"/>
    <n v="122367092599.2607"/>
    <n v="132110141257.51613"/>
    <n v="139000035975.4498"/>
    <n v="146980059045.97342"/>
    <n v="146676982322.36069"/>
    <n v="135227359361.70337"/>
    <n v="138412183035.97501"/>
    <n v="160243310206.44046"/>
    <n v="189029734327.52277"/>
    <n v="209093555275.5029"/>
    <n v="217627472038.42142"/>
    <n v="230085286100.18652"/>
    <n v="249771268360.79193"/>
    <n v="244789484796.82782"/>
    <n v="260285223091.69153"/>
    <n v="273869467893.53824"/>
    <n v="272529930933.30234"/>
    <n v="288702917651.0249"/>
    <n v="304900878662.26166"/>
    <n v="292462765695.08624"/>
    <n v="289479267798.16101"/>
    <n v="281157192045.43964"/>
    <n v="285980382846.50885"/>
    <n v="303541293257.57574"/>
    <n v="312537937922.30273"/>
    <n v="324767005125.68304"/>
    <n v="345629841181.94836"/>
    <n v="356528799038.2829"/>
    <n v="379748403550.74854"/>
    <n v="387468244239.67572"/>
    <n v="399465161910.43933"/>
    <n v="398780625189.29297"/>
    <n v="402441098817.70825"/>
    <n v="410658461804.24323"/>
    <n v="429627796484.24146"/>
    <n v="438229018188.91583"/>
    <n v="450056293692.51276"/>
    <n v="459555247299.07806"/>
    <n v="476950325698.60211"/>
    <n v="497737609399.14539"/>
    <n v="532424972948.43738"/>
    <n v="559150808893.38867"/>
    <n v="601544792732.87585"/>
    <n v="638919590371.82068"/>
    <n v="676322554359.42798"/>
    <n v="714293434384.22681"/>
    <n v="743939631931.19788"/>
    <n v="788404901665.92737"/>
    <n v="835185650427.30664"/>
    <n v="873536727907.57117"/>
    <n v="911814128248.86755"/>
    <n v="962102693473.4906"/>
    <n v="1016050917857.3391"/>
    <n v="1054056007822.3799"/>
    <n v="1076057632693.7179"/>
    <n v="1103559425403.1858"/>
    <n v="1146027614931.2295"/>
    <n v="1177780961422.7964"/>
    <n v="1161106610876.8081"/>
    <n v="1221069571181.4443"/>
    <n v="1272543649454.6729"/>
    <n v="1304691371223.5327"/>
  </r>
  <r>
    <x v="105"/>
    <s v="IDN"/>
    <s v="PIB (US$ a precios constantes de 2015)"/>
    <s v="NY.GDP.MKTP.KD"/>
    <n v="52777607844.624741"/>
    <n v="55807383384.701118"/>
    <n v="56835342942.753067"/>
    <n v="55563919279.426773"/>
    <n v="57525157909.454048"/>
    <n v="58147343958.076508"/>
    <n v="59770437997.711182"/>
    <n v="60595510800.569206"/>
    <n v="67209619011.265907"/>
    <n v="71794859671.940079"/>
    <n v="77218698920.429688"/>
    <n v="82642538167.960922"/>
    <n v="88458625141.880951"/>
    <n v="95627290482.163239"/>
    <n v="102545201831.48312"/>
    <n v="108295400065.02423"/>
    <n v="115962331043.07906"/>
    <n v="125545994765.64757"/>
    <n v="134171292115.95923"/>
    <n v="143754955838.52774"/>
    <n v="158130451422.38052"/>
    <n v="170589214261.7196"/>
    <n v="174422679750.74701"/>
    <n v="182089610728.80182"/>
    <n v="194548373568.1409"/>
    <n v="199340205429.42517"/>
    <n v="210840601896.50739"/>
    <n v="221382631991.33276"/>
    <n v="233841394830.67184"/>
    <n v="252050355903.552"/>
    <n v="270259316976.43219"/>
    <n v="288571594908.57947"/>
    <n v="307321553098.99121"/>
    <n v="327286415424.3465"/>
    <n v="351963716547.30621"/>
    <n v="380895160090.96484"/>
    <n v="410674256274.69519"/>
    <n v="429975448804.30853"/>
    <n v="373533751951.81848"/>
    <n v="376488874890.68042"/>
    <n v="395012382598.14069"/>
    <n v="409404526223.00482"/>
    <n v="427825582121.43652"/>
    <n v="448277224152.72095"/>
    <n v="470829486223.72156"/>
    <n v="497631790440.73413"/>
    <n v="525006275301.5556"/>
    <n v="558318040165.83105"/>
    <n v="591893632242.42456"/>
    <n v="619291626022.03076"/>
    <n v="657835433773.51782"/>
    <n v="698422460479.19739"/>
    <n v="740537688618.41406"/>
    <n v="781691320690.69934"/>
    <n v="820828013230.58777"/>
    <n v="860854232686.21387"/>
    <n v="904181621780.38843"/>
    <n v="950021694164.00085"/>
    <n v="999178586309.02063"/>
    <n v="1049330233997.4519"/>
    <n v="1027656193885.3761"/>
    <n v="1065709127396.8615"/>
    <n v="1122270779815.1416"/>
    <n v="1178924195813.5652"/>
  </r>
  <r>
    <x v="106"/>
    <s v="IDX"/>
    <s v="PIB (US$ a precios constantes de 2015)"/>
    <s v="NY.GDP.MKTP.KD"/>
    <m/>
    <n v="174776476217.90747"/>
    <n v="187280987976.57529"/>
    <n v="192061915701.08459"/>
    <n v="200974130941.39883"/>
    <n v="207913465828.24149"/>
    <n v="214686519603.49048"/>
    <n v="219123708804.39096"/>
    <n v="230532281737.76309"/>
    <n v="240482123781.37378"/>
    <n v="242573456499.18832"/>
    <n v="249050077427.45355"/>
    <n v="248472733484.11145"/>
    <n v="255226049509.82611"/>
    <n v="270969594048.88162"/>
    <n v="274162925461.48276"/>
    <n v="286944230847.56226"/>
    <n v="295236080027.46075"/>
    <n v="303984900225.97485"/>
    <n v="307499504611.36578"/>
    <n v="311925285437.0954"/>
    <n v="322163951038.0285"/>
    <n v="324687795617.14264"/>
    <n v="328057327799.72662"/>
    <n v="333317318294.77228"/>
    <n v="341151577329.07654"/>
    <n v="351659829907.58557"/>
    <n v="363952771514.72144"/>
    <n v="374826107783.13733"/>
    <n v="379772308632.69342"/>
    <n v="383882899438.31689"/>
    <n v="390608343815.34564"/>
    <n v="395110142287.14636"/>
    <n v="403720417942.24701"/>
    <n v="408124989909.13104"/>
    <n v="429271813873.98425"/>
    <n v="451072165474.4527"/>
    <n v="475953420246.17468"/>
    <n v="495758298356.59125"/>
    <n v="514025766630.90021"/>
    <n v="534975620220.61591"/>
    <n v="554959298508.16492"/>
    <n v="577426535862.5481"/>
    <n v="605131943915.6239"/>
    <n v="640410124362.38965"/>
    <n v="679887174475.44995"/>
    <n v="722677424259.86609"/>
    <n v="767623607636.6355"/>
    <n v="812730222527.16003"/>
    <n v="847292578017.7301"/>
    <n v="901781228552.53137"/>
    <n v="935928575709.34937"/>
    <n v="959080160236.52039"/>
    <n v="1006836713595.2341"/>
    <n v="1060836588492.4705"/>
    <n v="1093640032209.0707"/>
    <n v="1141317480407.9495"/>
    <n v="1201306254438.3064"/>
    <n v="1258698693153.7234"/>
    <n v="1321196408572.1018"/>
    <n v="1318054005137.8462"/>
    <n v="1367997476810.4858"/>
    <n v="1428133512186.3396"/>
    <n v="1485232407329.4485"/>
  </r>
  <r>
    <x v="107"/>
    <s v="IMN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n v="1181084096.8306217"/>
    <n v="1186031930.4860618"/>
    <n v="1412629715.6498015"/>
    <n v="1552428450.2975338"/>
    <n v="1736070746.5491283"/>
    <n v="1854908489.7142282"/>
    <n v="1932573078.2451923"/>
    <n v="1963590738.6046784"/>
    <n v="1979299513.4024389"/>
    <n v="2030761215.8063986"/>
    <n v="2111991688.883116"/>
    <n v="2202807293.6161747"/>
    <n v="2372423591.9608264"/>
    <n v="2576451886.4249196"/>
    <n v="2924273044.634057"/>
    <n v="3324898364.5127511"/>
    <n v="3501118028.5541844"/>
    <n v="3690178368.1794205"/>
    <n v="3918969360.3953872"/>
    <n v="4154107509.7968802"/>
    <n v="4370121229.2508516"/>
    <n v="4627958352.7488537"/>
    <n v="4984311086.3271408"/>
    <n v="5358134429.2600183"/>
    <n v="5620683069.9187965"/>
    <n v="5738717429.6648798"/>
    <n v="5933833731.8289785"/>
    <n v="6052510369.7988663"/>
    <n v="6494579087.9227228"/>
    <n v="6763575639.3956718"/>
    <n v="7112244717.0294476"/>
    <n v="7084800892.2228413"/>
    <n v="7577357763.7727737"/>
    <n v="7792384795.5787144"/>
    <n v="7964861187.4261208"/>
    <n v="7985161928.9365902"/>
    <n v="7279527750.1769638"/>
    <n v="7558904135.254981"/>
    <m/>
    <m/>
  </r>
  <r>
    <x v="108"/>
    <s v="IND"/>
    <s v="PIB (US$ a precios constantes de 2015)"/>
    <s v="NY.GDP.MKTP.KD"/>
    <n v="136368119594.44817"/>
    <n v="141444753584.19373"/>
    <n v="145590679986.88651"/>
    <n v="154317899661.68185"/>
    <n v="165819135753.55981"/>
    <n v="161448524536.36346"/>
    <n v="161359197052.82169"/>
    <n v="173987108161.00729"/>
    <n v="179881668161.46683"/>
    <n v="191645390152.57855"/>
    <n v="201528983203.48026"/>
    <n v="204839964083.51477"/>
    <n v="203706581888.37338"/>
    <n v="210419775347.31332"/>
    <n v="212913957231.49939"/>
    <n v="232395396987.34073"/>
    <n v="236260373289.48462"/>
    <n v="253400507185.43042"/>
    <n v="267876092471.30972"/>
    <n v="253844253326.08847"/>
    <n v="270942749191.29901"/>
    <n v="287216122417.65143"/>
    <n v="297198988654.29803"/>
    <n v="318861504646.27844"/>
    <n v="331044366862.84814"/>
    <n v="348438428459.08484"/>
    <n v="365081813582.05945"/>
    <n v="379558605848.62842"/>
    <n v="416101684459.0282"/>
    <n v="440848680243.26477"/>
    <n v="465242841648.40936"/>
    <n v="470159674247.85382"/>
    <n v="495935689518.36053"/>
    <n v="519496484311.42877"/>
    <n v="554089360749.52344"/>
    <n v="596058814154.0863"/>
    <n v="641058406946.96985"/>
    <n v="667020123972.06958"/>
    <n v="708271422053.0625"/>
    <n v="770923380744.92944"/>
    <n v="800534479623.43677"/>
    <n v="839151992864.62939"/>
    <n v="871073127579.90125"/>
    <n v="939542798341.79822"/>
    <n v="1013982178697.0234"/>
    <n v="1094324353140.2856"/>
    <n v="1182534912713.5435"/>
    <n v="1273126725479.3645"/>
    <n v="1312424303406.1448"/>
    <n v="1415605643155.3828"/>
    <n v="1535897931731.8096"/>
    <n v="1616399198833.7534"/>
    <n v="1704596203503.8403"/>
    <n v="1813453530765.6975"/>
    <n v="1947834564909.3198"/>
    <n v="2103588360044.3894"/>
    <n v="2277267041549.5708"/>
    <n v="2432016068497.0562"/>
    <n v="2588974770243.8003"/>
    <n v="2689205295884.6694"/>
    <n v="2533830417085.7681"/>
    <n v="2779348258937.4956"/>
    <n v="2973542414789.2983"/>
    <n v="3199055012896.7896"/>
  </r>
  <r>
    <x v="109"/>
    <s v="INX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0"/>
    <s v="IRL"/>
    <s v="PIB (US$ a precios constantes de 2015)"/>
    <s v="NY.GDP.MKTP.KD"/>
    <n v="23728173770.684513"/>
    <n v="24918419094.984406"/>
    <n v="25719906197.365013"/>
    <n v="26940221668.051537"/>
    <n v="27960168102.199627"/>
    <n v="28500763972.514038"/>
    <n v="28755302158.349556"/>
    <n v="30418998901.067089"/>
    <n v="32926719513.204178"/>
    <n v="34857494625.644981"/>
    <n v="35784888482.646851"/>
    <n v="37026583191.49646"/>
    <n v="39429537362.676926"/>
    <n v="41291174618.189034"/>
    <n v="43050274020.888252"/>
    <n v="45485475074.72184"/>
    <n v="46119910078.761688"/>
    <n v="49906954952.687469"/>
    <n v="53493631784.182388"/>
    <n v="55137510492.215981"/>
    <n v="56835375878.481606"/>
    <n v="58725274646.343712"/>
    <n v="60066248568.646454"/>
    <n v="59919505503.245285"/>
    <n v="62528623812.197227"/>
    <n v="64458016800.914024"/>
    <n v="64181923394.18512"/>
    <n v="67174785598.078873"/>
    <n v="70679571502.142548"/>
    <n v="74788825576.583176"/>
    <n v="81120842271.689423"/>
    <n v="82686181890.734344"/>
    <n v="85450607595.09021"/>
    <n v="87751458842.51091"/>
    <n v="92802281060.348404"/>
    <n v="101743244089.90855"/>
    <n v="109251514204.54956"/>
    <n v="121292958859.85542"/>
    <n v="131925647231.34448"/>
    <n v="145817267874.00229"/>
    <n v="159529230641.84564"/>
    <n v="167993566904.82532"/>
    <n v="177904121044.86087"/>
    <n v="183265864279.064"/>
    <n v="195706207665.88467"/>
    <n v="206939316704.72568"/>
    <n v="217261147302.08386"/>
    <n v="228797971071.06589"/>
    <n v="218538508412.31552"/>
    <n v="207402259848.82605"/>
    <n v="210892781855.16785"/>
    <n v="213593795569.28583"/>
    <n v="213316781266.8577"/>
    <n v="215822430841.68152"/>
    <n v="234877390513.92798"/>
    <n v="292364226871.7561"/>
    <n v="297526083592.12292"/>
    <n v="325229508739.11273"/>
    <n v="352777409026.17206"/>
    <n v="371466596693.27905"/>
    <n v="396047264524.21814"/>
    <n v="455950283775.42163"/>
    <n v="498960174855.62982"/>
    <n v="482999506836.71228"/>
  </r>
  <r>
    <x v="111"/>
    <s v="IRN"/>
    <s v="PIB (US$ a precios constantes de 2015)"/>
    <s v="NY.GDP.MKTP.KD"/>
    <n v="50230111893.077843"/>
    <n v="55449481809.509491"/>
    <n v="59835129891.428062"/>
    <n v="64048764751.829468"/>
    <n v="69477043755.074493"/>
    <n v="81312952502.022141"/>
    <n v="90665899474.123703"/>
    <n v="100868354617.31602"/>
    <n v="115397616678.13818"/>
    <n v="133303471246.14886"/>
    <n v="147870343542.42987"/>
    <n v="168130921386.29361"/>
    <n v="192508250324.5513"/>
    <n v="206834101390.74551"/>
    <n v="218832652783.05579"/>
    <n v="218118785129.56213"/>
    <n v="257948225481.07214"/>
    <n v="250793831043.1608"/>
    <n v="218589754651.10107"/>
    <n v="192313604302.95428"/>
    <n v="150774540117.91513"/>
    <n v="142185235365.35251"/>
    <n v="175131325367.19958"/>
    <n v="194547639520.83783"/>
    <n v="180657228909.91071"/>
    <n v="184031273523.71613"/>
    <n v="166023987175.39664"/>
    <n v="165738247130.19827"/>
    <n v="155658052541.91513"/>
    <n v="165203184384.63123"/>
    <n v="187662435784.18008"/>
    <n v="211525869690.37787"/>
    <n v="218501954626.90295"/>
    <n v="215287765784.54483"/>
    <n v="211631563542.23166"/>
    <n v="216712931669.50223"/>
    <n v="230475342782.99698"/>
    <n v="233587680138.03201"/>
    <n v="238446331402.23941"/>
    <n v="243221687099.15112"/>
    <n v="257439277645.81622"/>
    <n v="263597669795.12204"/>
    <n v="284893275521.91876"/>
    <n v="309506055703.40631"/>
    <n v="322928299537.11481"/>
    <n v="333229079615.45538"/>
    <n v="349889851374.19977"/>
    <n v="378426075216.26709"/>
    <n v="379375381822.35748"/>
    <n v="383197154268.49115"/>
    <n v="405414688824.633"/>
    <n v="416140817897.54175"/>
    <n v="400547308191.21265"/>
    <n v="394451061454.58893"/>
    <n v="414113559617.86859"/>
    <n v="408212917874.96429"/>
    <n v="444197240271.59406"/>
    <n v="456450444446.13489"/>
    <n v="448060850719.66968"/>
    <n v="434302748072.11578"/>
    <n v="448766282369.43634"/>
    <n v="469947053431.51093"/>
    <n v="487695221421.96594"/>
    <n v="511846684554.59442"/>
  </r>
  <r>
    <x v="112"/>
    <s v="IRQ"/>
    <s v="PIB (US$ a precios constantes de 2015)"/>
    <s v="NY.GDP.MKTP.KD"/>
    <n v="7007485325.4684877"/>
    <n v="7520837447.6406431"/>
    <n v="7867047598.8810396"/>
    <n v="8059609507.8712683"/>
    <n v="9254568661.8537273"/>
    <n v="10250719342.41655"/>
    <n v="10759449895.171942"/>
    <n v="9806505271.7119408"/>
    <n v="11719960411.809454"/>
    <n v="12100177780.63022"/>
    <n v="12650053064.701803"/>
    <n v="13329936812.259649"/>
    <n v="13827850446.186386"/>
    <n v="14438869357.855274"/>
    <n v="16765457417.489702"/>
    <n v="18859574485.233807"/>
    <n v="22098725966.92263"/>
    <n v="22518592786.599674"/>
    <n v="26359581201.596653"/>
    <n v="31860629533.723694"/>
    <n v="39747322739.736099"/>
    <n v="39457673065.243271"/>
    <n v="40812640889.480652"/>
    <n v="35477076845.911674"/>
    <n v="34950156507.741928"/>
    <n v="35458295526.702583"/>
    <n v="37106251927.150299"/>
    <n v="40559093083.336914"/>
    <n v="40551371874.136986"/>
    <n v="39286763062.529594"/>
    <n v="62001516291.880829"/>
    <n v="22291338827.167011"/>
    <n v="29556579056.595211"/>
    <n v="38509216455.629456"/>
    <n v="39993566700.075813"/>
    <n v="40841438912.025719"/>
    <n v="45342486348.698265"/>
    <n v="54972294637.758415"/>
    <n v="74134039677.563293"/>
    <n v="87168483737.77861"/>
    <n v="101918843143.26141"/>
    <n v="103714123263.81528"/>
    <n v="95211152164.981979"/>
    <n v="60308502640.334801"/>
    <n v="92502263396.42511"/>
    <n v="94048799140.156708"/>
    <n v="99359074412.653931"/>
    <n v="101232561440.96869"/>
    <n v="109562085020.28491"/>
    <n v="113264515567.21152"/>
    <n v="120516349622.45108"/>
    <n v="129611081238.51405"/>
    <n v="147674239072.76675"/>
    <n v="158939673521.91394"/>
    <n v="159252811238.14221"/>
    <n v="166774104959.10168"/>
    <n v="189767872908.42621"/>
    <n v="186314571374.74243"/>
    <n v="191221819559.37827"/>
    <n v="201765390222.03455"/>
    <n v="177479307669.56909"/>
    <n v="180145367592.77167"/>
    <n v="193908133926.67371"/>
    <n v="188215848693.25772"/>
  </r>
  <r>
    <x v="113"/>
    <s v="ISL"/>
    <s v="PIB (US$ a precios constantes de 2015)"/>
    <s v="NY.GDP.MKTP.KD"/>
    <n v="2370646836.5400085"/>
    <n v="2368888196.4535599"/>
    <n v="2565855886.136405"/>
    <n v="2829651899.1045122"/>
    <n v="3109275672.8506994"/>
    <n v="3336140244.003264"/>
    <n v="3628074498.3546352"/>
    <n v="3582349856.1068273"/>
    <n v="3385382166.423975"/>
    <n v="3466279610.4008617"/>
    <n v="3724799703.109601"/>
    <n v="4211289745.0687194"/>
    <n v="4471435196.8250008"/>
    <n v="4775761508.6677752"/>
    <n v="5048280413.8895168"/>
    <n v="5080900131.3743696"/>
    <n v="5383689640.7240734"/>
    <n v="5858653667.7753792"/>
    <n v="6211152138.6360922"/>
    <n v="6513050303.6010752"/>
    <n v="6887415271.1421986"/>
    <n v="7181164023.3909502"/>
    <n v="7335886960.2866602"/>
    <n v="7178080169.6689329"/>
    <n v="7474471587.2692871"/>
    <n v="7720594077.2940903"/>
    <n v="8204717169.1540689"/>
    <n v="8905887360.2500324"/>
    <n v="8897896461.8207321"/>
    <n v="8920892169.0715847"/>
    <n v="9025210435.7043495"/>
    <n v="9005036784.585083"/>
    <n v="8701216382.7894402"/>
    <n v="8815502462.2945042"/>
    <n v="9133641416.9509182"/>
    <n v="9144289754.9819889"/>
    <n v="9561920769.22616"/>
    <n v="10113797776.404722"/>
    <n v="10858456575.509472"/>
    <n v="11296586994.517035"/>
    <n v="11859726687.766937"/>
    <n v="12335716528.378798"/>
    <n v="12404737216.257444"/>
    <n v="12670532078.994635"/>
    <n v="13659137611.528231"/>
    <n v="14495683157.737547"/>
    <n v="15411374460.634037"/>
    <n v="16714384610.171278"/>
    <n v="17083688339.560976"/>
    <n v="15774426999.34877"/>
    <n v="15327572988.261784"/>
    <n v="15610486135.636927"/>
    <n v="15776524980.774536"/>
    <n v="16494745020.423021"/>
    <n v="16773046835.50699"/>
    <n v="17517210519.091156"/>
    <n v="18621440660.001873"/>
    <n v="19402600566.927147"/>
    <n v="20351227274.146957"/>
    <n v="20729999827.290714"/>
    <n v="19291243912.706753"/>
    <n v="20284495162.343613"/>
    <n v="22086023602.288334"/>
    <n v="22983555206.469723"/>
  </r>
  <r>
    <x v="114"/>
    <s v="ISR"/>
    <s v="PIB (US$ a precios constantes de 2015)"/>
    <s v="NY.GDP.MKTP.KD"/>
    <n v="18456573713.716763"/>
    <n v="20524428044.572922"/>
    <n v="22608913015.154335"/>
    <n v="25027099758.416439"/>
    <n v="27013547322.45002"/>
    <n v="29444212128.910294"/>
    <n v="29420760690.199947"/>
    <n v="30301920258.613396"/>
    <n v="35223543565.644836"/>
    <n v="40001864574.551666"/>
    <n v="42924935037.336456"/>
    <n v="47625675138.431267"/>
    <n v="53410553946.114304"/>
    <n v="56394849263.401123"/>
    <n v="60047070775.137512"/>
    <n v="61994288800.875008"/>
    <n v="62194222279.931488"/>
    <n v="62838118696.32753"/>
    <n v="66328830927.454323"/>
    <n v="70446402684.488419"/>
    <n v="71623168676.968842"/>
    <n v="75447793598.04213"/>
    <n v="77018993849.705261"/>
    <n v="79606140097.497726"/>
    <n v="80349035382.373672"/>
    <n v="83592678070.458237"/>
    <n v="87095332080.818771"/>
    <n v="93313687316.275757"/>
    <n v="96029130733.15506"/>
    <n v="96581055286.539566"/>
    <n v="103646151726.36214"/>
    <n v="111653972780.72809"/>
    <n v="120317501715.72453"/>
    <n v="125270680183.91998"/>
    <n v="134575592354.114"/>
    <n v="143461517687.92096"/>
    <n v="151966334119.46335"/>
    <n v="157726545602.6759"/>
    <n v="164217868444.74957"/>
    <n v="169687132284.20755"/>
    <n v="184401815445.30698"/>
    <n v="185017847776.68213"/>
    <n v="184806518674.15652"/>
    <n v="187382560696.36829"/>
    <n v="196347818275.37436"/>
    <n v="204464987521.97614"/>
    <n v="215879588868.4021"/>
    <n v="228904065520.34671"/>
    <n v="236346110629.9046"/>
    <n v="238433331332.27588"/>
    <n v="251948960764.97601"/>
    <n v="265960192873.37619"/>
    <n v="272842322027.35757"/>
    <n v="284889679087.51794"/>
    <n v="296054867115.47559"/>
    <n v="303414276832.04004"/>
    <n v="317133700441.66229"/>
    <n v="330696227434.5014"/>
    <n v="344156628360.70526"/>
    <n v="358460252733.58807"/>
    <n v="351802608893.27246"/>
    <n v="382099815616.82635"/>
    <n v="408208262853.22278"/>
    <n v="416360345096.69434"/>
  </r>
  <r>
    <x v="115"/>
    <s v="ITA"/>
    <s v="PIB (US$ a precios constantes de 2015)"/>
    <s v="NY.GDP.MKTP.KD"/>
    <n v="486123900132.13757"/>
    <n v="526021284061.97021"/>
    <n v="558653805859.17993"/>
    <n v="589992764707.73242"/>
    <n v="606499005732.57397"/>
    <n v="626319537099.30615"/>
    <n v="663803472586.90735"/>
    <n v="711455351416.86267"/>
    <n v="758016935734.16479"/>
    <n v="804241263251.93762"/>
    <n v="846950515068.32312"/>
    <n v="862348989577.02234"/>
    <n v="894173856797.55615"/>
    <n v="957891454594.5791"/>
    <n v="1010576836194.7892"/>
    <n v="989454133933.44226"/>
    <n v="1059956551731.3644"/>
    <n v="1087096748192.6089"/>
    <n v="1122320202071.8545"/>
    <n v="1189201052186.4102"/>
    <n v="1229990843476.8904"/>
    <n v="1240374765744.1465"/>
    <n v="1245504778335.0396"/>
    <n v="1260067263727.988"/>
    <n v="1300715172729.0408"/>
    <n v="1337110298849.0959"/>
    <n v="1375351277184.7683"/>
    <n v="1419251948455.8049"/>
    <n v="1478780730118.5132"/>
    <n v="1528887491700.1089"/>
    <n v="1559247756414.9895"/>
    <n v="1583235965443.0798"/>
    <n v="1596444514474.6245"/>
    <n v="1582829943638.8074"/>
    <n v="1616876989876.2263"/>
    <n v="1663553589171.7559"/>
    <n v="1684627233211.1311"/>
    <n v="1715459486928.7092"/>
    <n v="1746519856496.6001"/>
    <n v="1774913511831.8735"/>
    <n v="1842128690356.2485"/>
    <n v="1878075465645.7407"/>
    <n v="1882844706806.0923"/>
    <n v="1885454835881.2876"/>
    <n v="1912296060779.9985"/>
    <n v="1927935754486.2488"/>
    <n v="1962458137126.7568"/>
    <n v="1991641321834.9993"/>
    <n v="1972481476580.6633"/>
    <n v="1868315968357.2258"/>
    <n v="1900325748105.6243"/>
    <n v="1913767385824.2568"/>
    <n v="1856719783429.5693"/>
    <n v="1822536356977.1475"/>
    <n v="1822453476364.2178"/>
    <n v="1836637711060.5459"/>
    <n v="1860393935366.8738"/>
    <n v="1891422683817.3813"/>
    <n v="1908933681964.9595"/>
    <n v="1918157617381.1702"/>
    <n v="1746018467621.3267"/>
    <n v="1891116791113.4358"/>
    <n v="1966494766925.428"/>
    <n v="1984600131128.5137"/>
  </r>
  <r>
    <x v="116"/>
    <s v="JAM"/>
    <s v="PIB (US$ a precios constantes de 2015)"/>
    <s v="NY.GDP.MKTP.KD"/>
    <m/>
    <m/>
    <m/>
    <m/>
    <m/>
    <m/>
    <n v="7024390230.8426924"/>
    <n v="7151436058.2769194"/>
    <n v="7562224000.7799377"/>
    <n v="7983793326.1955681"/>
    <n v="8946990809.8976116"/>
    <n v="9166914415.7252522"/>
    <n v="10817743266.845715"/>
    <n v="10224334976.484356"/>
    <n v="9791921133.132864"/>
    <n v="9766844781.3077469"/>
    <n v="9113028253.5862656"/>
    <n v="8876312906.8698425"/>
    <n v="8871546298.8961353"/>
    <n v="8777504242.6441116"/>
    <n v="8275943672.4014149"/>
    <n v="8494382901.654398"/>
    <n v="8670151358.9212608"/>
    <n v="8835671345.9682255"/>
    <n v="8699394740.0887623"/>
    <n v="8443316261.7127819"/>
    <n v="8602269136.1158524"/>
    <n v="9277577786.4663696"/>
    <n v="9646296747.4144859"/>
    <n v="10338254971.191837"/>
    <n v="10772517001.504269"/>
    <n v="11293717093.770863"/>
    <n v="11514570531.646065"/>
    <n v="12598909448.770813"/>
    <n v="12773201477.341112"/>
    <n v="13073366224.880098"/>
    <n v="13058497727.792643"/>
    <n v="12909570801.274826"/>
    <n v="12608189958.698751"/>
    <n v="12740282670.46904"/>
    <n v="12852231986.314884"/>
    <n v="13025085453.928452"/>
    <n v="13285234306.157345"/>
    <n v="13772313188.767393"/>
    <n v="13954620755.267179"/>
    <n v="14079346867.546709"/>
    <n v="14487524781.64028"/>
    <n v="14694979477.561817"/>
    <n v="14575694935.602863"/>
    <n v="13942336992.757513"/>
    <n v="13739176618.331942"/>
    <n v="13976916069.881237"/>
    <n v="13891148675.614187"/>
    <n v="13963061209.325428"/>
    <n v="14059381527.321218"/>
    <n v="14188936918.003582"/>
    <n v="14384066451.100992"/>
    <n v="14527493294.98654"/>
    <n v="14802051831.05481"/>
    <n v="14934129304.137753"/>
    <n v="13452615521.986084"/>
    <n v="14071627468.550463"/>
    <n v="14806380290.263479"/>
    <n v="15132129758.476301"/>
  </r>
  <r>
    <x v="117"/>
    <s v="JOR"/>
    <s v="PIB (US$ a precios constantes de 2015)"/>
    <s v="NY.GDP.MKTP.KD"/>
    <m/>
    <m/>
    <m/>
    <m/>
    <m/>
    <m/>
    <m/>
    <m/>
    <m/>
    <m/>
    <m/>
    <m/>
    <m/>
    <m/>
    <m/>
    <m/>
    <n v="5730509540.9698334"/>
    <n v="6206050652.7213669"/>
    <n v="7117071955.1188784"/>
    <n v="8597629976.7052231"/>
    <n v="9559261689.1700306"/>
    <n v="11201420242.633415"/>
    <n v="11988425687.654263"/>
    <n v="11722313980.564539"/>
    <n v="12225399095.65027"/>
    <n v="11894464001.403332"/>
    <n v="12549210740.759058"/>
    <n v="12840763337.627913"/>
    <n v="13028517104.197895"/>
    <n v="11630658934.986917"/>
    <n v="11598569492.67885"/>
    <n v="11785136086.300434"/>
    <n v="13476276723.01409"/>
    <n v="14080955882.281057"/>
    <n v="14780987323.056314"/>
    <n v="15697537788.503893"/>
    <n v="16025148664.362085"/>
    <n v="16555336763.019249"/>
    <n v="17054012095.809536"/>
    <n v="17632063087.418163"/>
    <n v="18380669691.802208"/>
    <n v="19349323186.58601"/>
    <n v="20468450874.832561"/>
    <n v="21320279753.992477"/>
    <n v="23146833797.589436"/>
    <n v="25032512558.608196"/>
    <n v="27058387611.468472"/>
    <n v="29270727368.86562"/>
    <n v="31384186979.027035"/>
    <n v="32960837541.535793"/>
    <n v="33723826288.353676"/>
    <n v="34646908078.416344"/>
    <n v="35488605511.919296"/>
    <n v="36414839440.074326"/>
    <n v="37647146046.473785"/>
    <n v="38587017887.323944"/>
    <n v="39356512808.349388"/>
    <n v="40330034782.848511"/>
    <n v="41103997444.499199"/>
    <n v="41823826702.477959"/>
    <n v="41362613665.93589"/>
    <n v="42874682706.30497"/>
    <n v="43915711431.558289"/>
    <n v="45064321343.939339"/>
  </r>
  <r>
    <x v="118"/>
    <s v="JPN"/>
    <s v="PIB (US$ a precios constantes de 2015)"/>
    <s v="NY.GDP.MKTP.KD"/>
    <n v="595545661030.1676"/>
    <n v="667270419542.66968"/>
    <n v="726717361027.224"/>
    <n v="788296791334.34814"/>
    <n v="880343907380.02942"/>
    <n v="931577351067.14868"/>
    <n v="1030683781031.6438"/>
    <n v="1144905624563.0942"/>
    <n v="1292397726861.3098"/>
    <n v="1453661751926.823"/>
    <n v="1459462598519.1035"/>
    <n v="1528042629884.4724"/>
    <n v="1656605218629.0366"/>
    <n v="1789673689005.6594"/>
    <n v="1767745894180.5852"/>
    <n v="1822397100505.0439"/>
    <n v="1894837095328.8301"/>
    <n v="1978026847421.8994"/>
    <n v="2082307265729.7922"/>
    <n v="2196501867263.322"/>
    <n v="2258390310750.4546"/>
    <n v="2354611841488.4106"/>
    <n v="2431837052482.3208"/>
    <n v="2520117566440.9004"/>
    <n v="2631276932026.8159"/>
    <n v="2767045767160.4185"/>
    <n v="2858193572214.4385"/>
    <n v="2991067029860.2251"/>
    <n v="3190321043519.3716"/>
    <n v="3347469412110.9546"/>
    <n v="3509518031571.1631"/>
    <n v="3633170889061.8169"/>
    <n v="3665890719855.772"/>
    <n v="3649056226897.6519"/>
    <n v="3688589488080.5874"/>
    <n v="3785636263364.3647"/>
    <n v="3904273220115.0269"/>
    <n v="3942583070731.7393"/>
    <n v="3892499235707.73"/>
    <n v="3879501014654.6128"/>
    <n v="3986755544464.2148"/>
    <n v="4002148544213.4473"/>
    <n v="4003827945768.8008"/>
    <n v="4065291729511.6011"/>
    <n v="4154163710034.4775"/>
    <n v="4229100705435.4673"/>
    <n v="4287138774363.7056"/>
    <n v="4350758602409.603"/>
    <n v="4297492743392.063"/>
    <n v="4052826324007.5005"/>
    <n v="4218907820177.1665"/>
    <n v="4219912322037.6499"/>
    <n v="4277925608850.5952"/>
    <n v="4363702302795.8589"/>
    <n v="4376627829637.5088"/>
    <n v="4444930651964.1797"/>
    <n v="4478437728055.5508"/>
    <n v="4553466417292.2119"/>
    <n v="4582763011477.3506"/>
    <n v="4564332550094.4502"/>
    <n v="4375044252274.5063"/>
    <n v="4487015645273.1309"/>
    <n v="4529854841042.583"/>
    <n v="4616966465093.54"/>
  </r>
  <r>
    <x v="119"/>
    <s v="KAZ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326487409.957611"/>
    <n v="84840573793.24881"/>
    <n v="80344023383.110443"/>
    <n v="72952373230.23082"/>
    <n v="63760374204.449692"/>
    <n v="58532023518.930908"/>
    <n v="58824683637.739227"/>
    <n v="59824703259.283806"/>
    <n v="58688033897.70153"/>
    <n v="60272610811.672974"/>
    <n v="66179326672.507698"/>
    <n v="75113535772.261047"/>
    <n v="82474662277.648499"/>
    <n v="90144805869.748245"/>
    <n v="98798707234.477737"/>
    <n v="108382181835.45818"/>
    <n v="119979075291.8522"/>
    <n v="130657212992.8199"/>
    <n v="134968901021.85854"/>
    <n v="136588527833.34979"/>
    <n v="146559490369.68921"/>
    <n v="157404892659.15942"/>
    <n v="164960327499.37427"/>
    <n v="174857947143.91092"/>
    <n v="182201980933.86447"/>
    <n v="184388404706.04178"/>
    <n v="186416677156.15195"/>
    <n v="194059760924.35175"/>
    <n v="202016211108.85693"/>
    <n v="211106940610.61169"/>
    <n v="205829267103.19958"/>
    <n v="214679925583.06857"/>
    <n v="221549683201.09851"/>
    <n v="232848717043.77054"/>
  </r>
  <r>
    <x v="120"/>
    <s v="KEN"/>
    <s v="PIB (US$ a precios constantes de 2015)"/>
    <s v="NY.GDP.MKTP.KD"/>
    <n v="6102055403.607748"/>
    <n v="5627642874.3547382"/>
    <n v="6159869249.6291037"/>
    <n v="6700603529.2353621"/>
    <n v="7033252799.5723686"/>
    <n v="7174557471.6024513"/>
    <n v="8231266932.826128"/>
    <n v="8507938913.6599026"/>
    <n v="9187101299.9188786"/>
    <n v="9918323313.7006588"/>
    <n v="9456581036.8268394"/>
    <n v="11553473095.787378"/>
    <n v="13527086974.844553"/>
    <n v="14324722508.415277"/>
    <n v="14907110911.904543"/>
    <n v="15038621917.717712"/>
    <n v="15362548495.599657"/>
    <n v="16814892774.072535"/>
    <n v="17977221151.891171"/>
    <n v="19346227179.382595"/>
    <n v="20428063600.006126"/>
    <n v="21198925607.93655"/>
    <n v="21518282813.060051"/>
    <n v="21799967946.115452"/>
    <n v="22182604684.493801"/>
    <n v="23136581311.969624"/>
    <n v="24797222251.141247"/>
    <n v="26269459979.370792"/>
    <n v="27899002871.238911"/>
    <n v="29207563408.672161"/>
    <n v="30431959354.31197"/>
    <n v="30869676465.340908"/>
    <n v="30622875266.948376"/>
    <n v="30731034422.169128"/>
    <n v="31540116338.607155"/>
    <n v="32929842156.667221"/>
    <n v="34295389782.360626"/>
    <n v="34458259247.35218"/>
    <n v="35592009621.639969"/>
    <n v="36412543752.268326"/>
    <n v="36630908098.826416"/>
    <n v="38015522174.313309"/>
    <n v="38223413680.269554"/>
    <n v="39344305939.178658"/>
    <n v="41352557259.217911"/>
    <n v="43795114731.978241"/>
    <n v="46629751036.751808"/>
    <n v="49824229272.697777"/>
    <n v="49939962360.034309"/>
    <n v="51591446859.568954"/>
    <n v="55748929986.106171"/>
    <n v="58603891851.295044"/>
    <n v="61281315911.579384"/>
    <n v="63608687382.87635"/>
    <n v="66801914096.618546"/>
    <n v="70120446896.835907"/>
    <n v="73074983895.095337"/>
    <n v="75879571212.388519"/>
    <n v="80165208728.395569"/>
    <n v="84264984851.354874"/>
    <n v="84035138346.858963"/>
    <n v="90413816676.979523"/>
    <n v="94795844230.478638"/>
    <n v="99939292457.500015"/>
  </r>
  <r>
    <x v="121"/>
    <s v="KGZ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n v="4159487047.1618352"/>
    <n v="4296748804.1510477"/>
    <n v="4863920937.71947"/>
    <n v="4999612217.7436485"/>
    <n v="5284729934.9660521"/>
    <n v="4864914939.9128218"/>
    <n v="4191715901.4957132"/>
    <n v="3543704782.0553603"/>
    <n v="2831946047.7828093"/>
    <n v="2678346337.2165842"/>
    <n v="2868093847.6328793"/>
    <n v="3152472634.5871649"/>
    <n v="3219362911.2895079"/>
    <n v="3337056039.339848"/>
    <n v="3518703233.1890755"/>
    <n v="3705955297.867847"/>
    <n v="3705313255.4532018"/>
    <n v="3965807641.1904159"/>
    <n v="4244477505.2722344"/>
    <n v="4237027793.4292903"/>
    <n v="4368498475.5297899"/>
    <n v="4741693829.8454065"/>
    <n v="5140072739.6298523"/>
    <n v="5288430380.284236"/>
    <n v="5263491909.1162357"/>
    <n v="5576999924.8201818"/>
    <n v="5572083788.2411566"/>
    <n v="6180302892.0312948"/>
    <n v="6429000667.9090929"/>
    <n v="6678177511.6631308"/>
    <n v="6967733666.777648"/>
    <n v="7297999868.5030117"/>
    <n v="7572252145.2554922"/>
    <n v="7920623120.2686024"/>
    <n v="7354379549.4197807"/>
    <n v="7759385792.104207"/>
    <n v="8455209116.531332"/>
    <n v="8975322159.9404755"/>
  </r>
  <r>
    <x v="122"/>
    <s v="KHM"/>
    <s v="PIB (US$ a precios constantes de 2015)"/>
    <s v="NY.GDP.MKTP.KD"/>
    <m/>
    <m/>
    <m/>
    <m/>
    <m/>
    <m/>
    <m/>
    <m/>
    <m/>
    <m/>
    <m/>
    <m/>
    <m/>
    <m/>
    <m/>
    <n v="4047028268.4994593"/>
    <n v="4047028268.4994593"/>
    <n v="3453069915.6838808"/>
    <n v="3453069915.6838808"/>
    <n v="3010090639.3730145"/>
    <n v="2839466476.0255785"/>
    <n v="2840633272.8988786"/>
    <n v="2840633272.8988786"/>
    <n v="2966570087.6853871"/>
    <n v="3112883675.7319708"/>
    <n v="3258261072.3419852"/>
    <n v="3382101645.92205"/>
    <n v="4110319513.4309645"/>
    <n v="4602608736.3860331"/>
    <n v="4762751130.813261"/>
    <n v="4818109151.5162163"/>
    <n v="5183866172.1934338"/>
    <n v="5547645970.3101339"/>
    <n v="5775009073.0845299"/>
    <n v="3764807025.6782403"/>
    <n v="4137653518.6524868"/>
    <n v="4381671866.9020586"/>
    <n v="4557228855.5331411"/>
    <n v="4770581544.6975937"/>
    <n v="5376702112.4498968"/>
    <n v="5914027156.7831182"/>
    <n v="6395924923.3859901"/>
    <n v="6816708954.479599"/>
    <n v="7396531098.7981958"/>
    <n v="8161371525.2972012"/>
    <n v="9242760345.850687"/>
    <n v="10238305796.061274"/>
    <n v="11283900343.070341"/>
    <n v="12038971276.864029"/>
    <n v="12049408698.888386"/>
    <n v="12767924407.168629"/>
    <n v="13670561753.822906"/>
    <n v="14670337167.443521"/>
    <n v="15749584749.025084"/>
    <n v="16874510037.717978"/>
    <n v="18049954289.472065"/>
    <n v="19301414292.096066"/>
    <n v="20651915662.772926"/>
    <n v="22194442188.325279"/>
    <n v="23760061873.144226"/>
    <n v="23024448758.18615"/>
    <n v="23721258226.499096"/>
    <n v="24964207155.803711"/>
    <n v="26312274342.205734"/>
  </r>
  <r>
    <x v="123"/>
    <s v="KIR"/>
    <s v="PIB (US$ a precios constantes de 2015)"/>
    <s v="NY.GDP.MKTP.KD"/>
    <m/>
    <m/>
    <m/>
    <m/>
    <m/>
    <m/>
    <m/>
    <m/>
    <m/>
    <m/>
    <n v="100688214.34208657"/>
    <n v="98382393.474592075"/>
    <n v="110266225.96229297"/>
    <n v="133322764.70789149"/>
    <n v="193721648.32840535"/>
    <n v="204074946.62184063"/>
    <n v="149447690.3970449"/>
    <n v="142554222.04258174"/>
    <n v="144064717.08465394"/>
    <n v="127374827.92928177"/>
    <n v="106348132.25342903"/>
    <n v="112175427.17142513"/>
    <n v="111447015.30667563"/>
    <n v="100520837.33543292"/>
    <n v="114360662.76567367"/>
    <n v="99064013.605933875"/>
    <n v="96878778.011685327"/>
    <n v="98335601.741184369"/>
    <n v="119459545.81892027"/>
    <n v="110718603.44192611"/>
    <n v="104162896.65918048"/>
    <n v="98335601.741184369"/>
    <n v="121644781.4131688"/>
    <n v="121644781.4131688"/>
    <n v="123830017.00741735"/>
    <n v="127472076.33116491"/>
    <n v="127472076.33116491"/>
    <n v="128928900.06066392"/>
    <n v="134027783.11391051"/>
    <n v="128928900.06066391"/>
    <n v="137669842.43765807"/>
    <n v="133299371.24916099"/>
    <n v="135484606.84340954"/>
    <n v="133299371.24916099"/>
    <n v="132570959.38441147"/>
    <n v="134027783.1139105"/>
    <n v="142040313.62615514"/>
    <n v="146410784.8146522"/>
    <n v="142040313.62615514"/>
    <n v="142768725.49090466"/>
    <n v="144225549.22040367"/>
    <n v="149324432.27365026"/>
    <n v="158065374.65064442"/>
    <n v="169719964.48663661"/>
    <n v="171905200.08088514"/>
    <n v="191572320.42912197"/>
    <n v="205412145.85936272"/>
    <n v="212696264.50685784"/>
    <n v="219980383.15435296"/>
    <n v="227264501.80184808"/>
    <n v="225807678.07234907"/>
    <n v="245474798.42058593"/>
    <n v="254944152.66232961"/>
    <n v="265870330.63357234"/>
  </r>
  <r>
    <x v="124"/>
    <s v="KNA"/>
    <s v="PIB (US$ a precios constantes de 2015)"/>
    <s v="NY.GDP.MKTP.KD"/>
    <m/>
    <m/>
    <m/>
    <m/>
    <m/>
    <m/>
    <m/>
    <m/>
    <m/>
    <m/>
    <m/>
    <m/>
    <m/>
    <m/>
    <m/>
    <m/>
    <m/>
    <n v="194002839.82545877"/>
    <n v="201588164.97371364"/>
    <n v="216904178.64414459"/>
    <n v="235211153.85677359"/>
    <n v="238849643.15552998"/>
    <n v="240157913.5208213"/>
    <n v="243007916.63982299"/>
    <n v="264552530.63524368"/>
    <n v="287171952.60753673"/>
    <n v="318350193.83828455"/>
    <n v="339203230.56989801"/>
    <n v="370496000.51949286"/>
    <n v="390798418.41049552"/>
    <n v="409858640.19708019"/>
    <n v="402216050.68940181"/>
    <n v="419386548.61501002"/>
    <n v="447913009.50937611"/>
    <n v="471660098.86724013"/>
    <n v="497050234.84548694"/>
    <n v="526092074.97466475"/>
    <n v="561992423.38249111"/>
    <n v="559256948.98233652"/>
    <n v="577264387.54567313"/>
    <n v="635237944.03590655"/>
    <n v="668609850.7276479"/>
    <n v="677754528.43251252"/>
    <n v="651095766.64549839"/>
    <n v="677115810.5774039"/>
    <n v="743018278.37243342"/>
    <n v="766426186.52448118"/>
    <n v="771029360.03198779"/>
    <n v="857219092.68752623"/>
    <n v="828251035.48299026"/>
    <n v="828615280.8584311"/>
    <n v="842010736.01281142"/>
    <n v="837583760.53430033"/>
    <n v="885408310.55439484"/>
    <n v="950623606.03634202"/>
    <n v="957222222.22222221"/>
    <n v="994866931.11710358"/>
    <n v="997065001.52882206"/>
    <n v="1017041453.0661831"/>
    <n v="1045836615.9547673"/>
    <n v="885254137.27902389"/>
    <n v="889500509.77781463"/>
    <n v="983101307.7309314"/>
    <n v="1016833010.7978816"/>
  </r>
  <r>
    <x v="125"/>
    <s v="KOR"/>
    <s v="PIB (US$ a precios constantes de 2015)"/>
    <s v="NY.GDP.MKTP.KD"/>
    <n v="25704085715.359402"/>
    <n v="27486919211.903244"/>
    <n v="28557609625.514778"/>
    <n v="31133668301.719124"/>
    <n v="34083217464.924473"/>
    <n v="36577575097.097351"/>
    <n v="40964673582.665932"/>
    <n v="44684104770.094223"/>
    <n v="50567110466.619934"/>
    <n v="57930372849.434425"/>
    <n v="63753959604.846352"/>
    <n v="70477142055.037674"/>
    <n v="75561617309.303436"/>
    <n v="86819030861.154633"/>
    <n v="95077114202.409012"/>
    <n v="102531096575.67403"/>
    <n v="116087191990.82187"/>
    <n v="130407687325.50658"/>
    <n v="144691222664.08179"/>
    <n v="157237726606.55505"/>
    <n v="154650084773.67526"/>
    <n v="165856302541.4418"/>
    <n v="179685530559.41779"/>
    <n v="203720580660.99149"/>
    <n v="225216443661.42697"/>
    <n v="242870854434.64688"/>
    <n v="270381470486.16098"/>
    <n v="304783976338.52881"/>
    <n v="341320612492.56708"/>
    <n v="365461856267.17297"/>
    <n v="401560542993.62695"/>
    <n v="444840963700.95105"/>
    <n v="472415066061.57184"/>
    <n v="504905290009.96936"/>
    <n v="551703276662.81287"/>
    <n v="604747148973.98413"/>
    <n v="652465952372.00488"/>
    <n v="692726706028.7677"/>
    <n v="657193648716.45789"/>
    <n v="732553666046.98242"/>
    <n v="798929132744.30176"/>
    <n v="837696366558.27722"/>
    <n v="902409606062.14685"/>
    <n v="930811064125.15137"/>
    <n v="979188957980.10986"/>
    <n v="1021377732486.5547"/>
    <n v="1075146392089.8536"/>
    <n v="1137500027631.5762"/>
    <n v="1171772731392.3442"/>
    <n v="1181061361993.541"/>
    <n v="1261430519849.4192"/>
    <n v="1307922658113.4045"/>
    <n v="1339345905332.01"/>
    <n v="1381732300870.2842"/>
    <n v="1425981639370.3538"/>
    <n v="1466038936206.4277"/>
    <n v="1509241369553.54"/>
    <n v="1556927899270.7476"/>
    <n v="1602194079769.0442"/>
    <n v="1638146960195.0566"/>
    <n v="1626525694049.9268"/>
    <n v="1696543311942.8091"/>
    <n v="1740868427277.0076"/>
    <n v="1764487367948.6982"/>
  </r>
  <r>
    <x v="126"/>
    <s v="KWT"/>
    <s v="PIB (US$ a precios constantes de 2015)"/>
    <s v="NY.GDP.MKTP.KD"/>
    <m/>
    <m/>
    <m/>
    <m/>
    <m/>
    <m/>
    <m/>
    <m/>
    <m/>
    <m/>
    <n v="55498510611.315758"/>
    <n v="59407648635.579094"/>
    <n v="61725008152.934715"/>
    <n v="57669628994.693634"/>
    <n v="50177583173.633675"/>
    <n v="44018581539.563057"/>
    <n v="46926530255.138557"/>
    <n v="45121014706.704742"/>
    <n v="48439563532.748489"/>
    <n v="55172280386.717415"/>
    <n v="44462929600.936516"/>
    <n v="36048439697.618111"/>
    <n v="31813071451.625404"/>
    <n v="34338543353.935268"/>
    <n v="36138434242.928551"/>
    <n v="34597277670.984962"/>
    <n v="37561472978.096725"/>
    <n v="40621287487.090202"/>
    <n v="36537785034.515465"/>
    <n v="45998461516.30825"/>
    <n v="33933574483.543728"/>
    <n v="20018165293.107613"/>
    <n v="36595073655.696243"/>
    <n v="49033910293.693672"/>
    <n v="53170492188.15406"/>
    <n v="55753669558.791069"/>
    <n v="56091050155.322868"/>
    <n v="57478364266.314827"/>
    <n v="59583253422.480278"/>
    <n v="58517303582.077675"/>
    <n v="61264446307.318268"/>
    <n v="61395143329.103737"/>
    <n v="63245766790.571587"/>
    <n v="74203741257.919525"/>
    <n v="81802425533.389069"/>
    <n v="90480881656.248108"/>
    <n v="97280314521.331146"/>
    <n v="103108938022.81921"/>
    <n v="105665789072.0724"/>
    <n v="98188818209.352081"/>
    <n v="95861205096.898132"/>
    <n v="105091217146.59518"/>
    <n v="112054826471.56313"/>
    <n v="113342574948.63937"/>
    <n v="113910327577.99406"/>
    <n v="114585555830.91621"/>
    <n v="117938416579.04091"/>
    <n v="112380894485.05533"/>
    <n v="115116221788.46265"/>
    <n v="116706510582.07808"/>
    <n v="110551385167.15752"/>
    <n v="112428132931.43834"/>
    <n v="119329255932.76614"/>
    <n v="116668101996.92186"/>
  </r>
  <r>
    <x v="127"/>
    <s v="LAC"/>
    <s v="PIB (US$ a precios constantes de 2015)"/>
    <s v="NY.GDP.MKTP.KD"/>
    <n v="624266953948.97363"/>
    <n v="662738530827.599"/>
    <n v="691538253178.80359"/>
    <n v="703704611491.37036"/>
    <n v="757252434134.02979"/>
    <n v="801699420001.19421"/>
    <n v="838879524524.66614"/>
    <n v="876206405778.29321"/>
    <n v="941469748212.25635"/>
    <n v="1006450731190.3489"/>
    <n v="1074998291101.2637"/>
    <n v="1149988505049.5645"/>
    <n v="1238843677753.606"/>
    <n v="1346575560732.5083"/>
    <n v="1436053784738.9517"/>
    <n v="1496877260798.873"/>
    <n v="1579242071755.9807"/>
    <n v="1654375903089.9722"/>
    <n v="1725613004761.562"/>
    <n v="1852629736300.3335"/>
    <n v="1975547390049.4854"/>
    <n v="1996312425784.0898"/>
    <n v="2001436342827.2478"/>
    <n v="1959817600271.6843"/>
    <n v="2036579715332.7112"/>
    <n v="2100624560427.814"/>
    <n v="2171376321730.2554"/>
    <n v="2240071721245.23"/>
    <n v="2248084010828.7905"/>
    <n v="2279466745489.2476"/>
    <n v="2268788826095.688"/>
    <n v="2332383198711.8828"/>
    <n v="2382216853096.834"/>
    <n v="2485933945133.7578"/>
    <n v="2616846969666.4604"/>
    <n v="2627714974909.25"/>
    <n v="2729442559618.7524"/>
    <n v="2873634427529.2261"/>
    <n v="2953679889772.5229"/>
    <n v="2969259902471.4585"/>
    <n v="3076783123518.6987"/>
    <n v="3082193717729.6064"/>
    <n v="3093522841968.4775"/>
    <n v="3167984861673.4717"/>
    <n v="3335071314644.9692"/>
    <n v="3468105802726.0962"/>
    <n v="3650283400737.2539"/>
    <n v="3845036662735.1919"/>
    <n v="3988833660212.8633"/>
    <n v="3892846773994.5645"/>
    <n v="4152580144024.2441"/>
    <n v="4336344416680.8677"/>
    <n v="4439165924566.2441"/>
    <n v="4561926982930.7666"/>
    <n v="4621044355458.1211"/>
    <n v="4634564315170.4541"/>
    <n v="4612148914661.7783"/>
    <n v="4705197710036.0332"/>
    <n v="4778850088437.0205"/>
    <n v="4810651995951.2676"/>
    <n v="4495906134167.9434"/>
    <n v="4802278149822.9531"/>
    <n v="4988465001867.8896"/>
    <n v="5095779681677.543"/>
  </r>
  <r>
    <x v="128"/>
    <s v="LAO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n v="2109467955.2532616"/>
    <n v="2216417220.0633593"/>
    <n v="2324692154.9220848"/>
    <n v="2291546871.2505426"/>
    <n v="2245482171.9135294"/>
    <n v="2564130387.5009966"/>
    <n v="2736044527.0661039"/>
    <n v="2853600421.4203749"/>
    <n v="3012256546.1234021"/>
    <n v="3190357917.9741902"/>
    <n v="3450659811.7617435"/>
    <n v="3693284478.9893293"/>
    <n v="3949167183.9019575"/>
    <n v="4220557557.2322536"/>
    <n v="4388012740.3995466"/>
    <n v="4708617453.2732792"/>
    <n v="4981659930.0759878"/>
    <n v="5268175760.9238052"/>
    <n v="5579985581.0199947"/>
    <n v="5918523434.7522497"/>
    <n v="6294805131.6511078"/>
    <n v="6742212710.0226746"/>
    <n v="7323341971.8312588"/>
    <n v="7879683723.9100122"/>
    <n v="8496261313.3670721"/>
    <n v="9133631713.0531693"/>
    <n v="9912447859.532238"/>
    <n v="10709275115.069645"/>
    <n v="11568812077.438631"/>
    <n v="12497359667.470156"/>
    <n v="13448654116.297441"/>
    <n v="14426380125.648829"/>
    <n v="15439521179.398651"/>
    <n v="16503694943.285589"/>
    <n v="17534839203.111565"/>
    <n v="18491844275.710567"/>
    <n v="18584864138.18996"/>
    <n v="19054754737.37994"/>
    <n v="19570648221.686237"/>
    <n v="20303702352.29504"/>
  </r>
  <r>
    <x v="129"/>
    <s v="LBN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n v="13590690651.830927"/>
    <n v="7821290496.8826036"/>
    <n v="9896526025.7785435"/>
    <n v="14790098775.878973"/>
    <n v="17221346342.705746"/>
    <n v="19075339624.591713"/>
    <n v="20621442059.165245"/>
    <n v="21951290517.48259"/>
    <n v="24428699054.154694"/>
    <n v="24686413686.457115"/>
    <n v="25591349424.639099"/>
    <n v="25456845224.229546"/>
    <n v="25798443405.565468"/>
    <n v="26789018310.960865"/>
    <n v="27706046545.312695"/>
    <n v="28600147893.726749"/>
    <n v="30510478932.499874"/>
    <n v="31329923063.100735"/>
    <n v="31815384920.712646"/>
    <n v="34777595316.005028"/>
    <n v="37931620043.701508"/>
    <n v="41812842419.743919"/>
    <n v="45147473283.559303"/>
    <n v="45539055323.506569"/>
    <n v="46707037069.304604"/>
    <n v="48494923363.262543"/>
    <n v="49699566407.483276"/>
    <n v="49929337836.815918"/>
    <n v="50705514062.860771"/>
    <n v="51163399287.703354"/>
    <n v="50199119756.200813"/>
    <n v="46727888410.684799"/>
    <n v="36728167162.873917"/>
    <n v="34156740537.160381"/>
    <n v="33944395264.176895"/>
    <m/>
  </r>
  <r>
    <x v="130"/>
    <s v="LBR"/>
    <s v="PIB (US$ a precios constantes de 2015)"/>
    <s v="NY.GDP.MKTP.KD"/>
    <n v="2785350369.7790952"/>
    <n v="2853312512.7258425"/>
    <n v="2891678326.1805539"/>
    <n v="2957448411.4667716"/>
    <n v="3109815009.7950711"/>
    <n v="3258892894.9722834"/>
    <n v="3509914203.4563913"/>
    <n v="3746685674.9397464"/>
    <n v="3925360307.382525"/>
    <n v="4211459133.9437895"/>
    <n v="4492076771.9199333"/>
    <n v="4712405513.1949711"/>
    <n v="4907522458.0725451"/>
    <n v="4796809968.5765133"/>
    <n v="5024811956.0972013"/>
    <n v="4850521856.7489948"/>
    <n v="5108120173.7617188"/>
    <n v="5189236333.7657146"/>
    <n v="5439161404.5327969"/>
    <n v="5616740217.0320721"/>
    <n v="5386545754.0773315"/>
    <n v="5271448731.4867277"/>
    <n v="5143197691.8388748"/>
    <n v="5045638801.6265697"/>
    <n v="4939311262.9986324"/>
    <n v="4897657154.1663733"/>
    <n v="4815445174.218873"/>
    <n v="4767213639.0844765"/>
    <n v="4669871991.1026754"/>
    <n v="3424489545.1385007"/>
    <n v="1676942910.1117396"/>
    <n v="1438394230.0734262"/>
    <n v="933723817.66311431"/>
    <n v="625824733.27040064"/>
    <n v="489630565.68285066"/>
    <n v="468741889.6724903"/>
    <n v="525559088.42067069"/>
    <n v="1084122284.9377151"/>
    <n v="1411615365.2016616"/>
    <n v="1718520984.1633282"/>
    <n v="2210291803.5901966"/>
    <n v="2274838397.3787279"/>
    <n v="2360440967.030386"/>
    <n v="1648882904.554358"/>
    <n v="1692081112.1277866"/>
    <n v="1781443510.5379128"/>
    <n v="1924741222.725848"/>
    <n v="2108270598.3345208"/>
    <n v="2258921103.4363627"/>
    <n v="2378656131.4529085"/>
    <n v="2523749998.5330667"/>
    <n v="2730716886.4904637"/>
    <n v="2949005327.4299116"/>
    <n v="3205193907.9446235"/>
    <n v="3227674916.8657827"/>
    <n v="3227075700"/>
    <n v="3176896008.3099952"/>
    <n v="3254893758.7341504"/>
    <n v="3292571599.1351814"/>
    <n v="3211334057.9282751"/>
    <n v="3115556299.79146"/>
    <n v="3270920145.6690845"/>
    <n v="3428189426.3946424"/>
    <n v="3589692300.4770751"/>
  </r>
  <r>
    <x v="131"/>
    <s v="LBY"/>
    <s v="PIB (US$ a precios constantes de 2015)"/>
    <s v="NY.GDP.MKTP.KD"/>
    <n v="4206979769.9027495"/>
    <n v="4623294238.9523849"/>
    <n v="6127004091.9866571"/>
    <n v="8272704007.2960329"/>
    <n v="12001351827.156837"/>
    <n v="15379597827.288467"/>
    <n v="18238997837.295948"/>
    <n v="20265366358.983059"/>
    <n v="27128012832.310883"/>
    <n v="30678497533.610264"/>
    <n v="32197312918.712448"/>
    <n v="30498091672.060272"/>
    <n v="33281298886.146992"/>
    <n v="33925831081.290264"/>
    <n v="41455139017.216125"/>
    <n v="43125063344.388802"/>
    <n v="52992488552.391975"/>
    <n v="57683765284.354912"/>
    <n v="59590166894.593178"/>
    <n v="64928319576.963623"/>
    <n v="65373260706.914864"/>
    <n v="52828013781.5867"/>
    <n v="54310397842.821838"/>
    <n v="52967721371.314041"/>
    <n v="50297204631.900902"/>
    <n v="54485341416.282616"/>
    <n v="48299889590.482727"/>
    <n v="41198814142.603363"/>
    <n v="44321281890.447227"/>
    <n v="47512155857.845009"/>
    <n v="49279670598.197319"/>
    <n v="56994467924.468719"/>
    <n v="55448621723.070251"/>
    <n v="53361983283.839325"/>
    <n v="54394423851.928085"/>
    <n v="53186646284.035431"/>
    <n v="54321714834.760132"/>
    <n v="57153327125.327003"/>
    <n v="55123101084.500687"/>
    <n v="55536336508.487007"/>
    <n v="57579668503.442139"/>
    <n v="56564631725.485847"/>
    <n v="56022234980.533951"/>
    <n v="63314109952.651039"/>
    <n v="66138956972.576775"/>
    <n v="73990151521.388519"/>
    <n v="78799900129.031601"/>
    <n v="83709120342.154755"/>
    <n v="83573471186.925415"/>
    <n v="79896086548.966949"/>
    <n v="83912660700.320602"/>
    <n v="41672273290.572739"/>
    <n v="77854953189.631958"/>
    <n v="63842648630.663994"/>
    <n v="49131511071.106377"/>
    <n v="48717501321.305237"/>
    <n v="47991152062.803139"/>
    <n v="63584342257.960579"/>
    <n v="68633808773.518784"/>
    <n v="64519360225.525108"/>
    <n v="26892811063.734848"/>
    <n v="68171296922.061783"/>
    <n v="69082166408.481323"/>
    <n v="67926705038.72879"/>
  </r>
  <r>
    <x v="132"/>
    <s v="LCA"/>
    <s v="PIB (US$ a precios constantes de 2015)"/>
    <s v="NY.GDP.MKTP.KD"/>
    <m/>
    <m/>
    <m/>
    <m/>
    <m/>
    <m/>
    <m/>
    <m/>
    <m/>
    <m/>
    <m/>
    <m/>
    <m/>
    <m/>
    <m/>
    <m/>
    <m/>
    <n v="483070711.46055406"/>
    <n v="532884676.80239493"/>
    <n v="553095577.27279174"/>
    <n v="540813934.60719776"/>
    <n v="574940663.12851048"/>
    <n v="586935892.27049816"/>
    <n v="616079512.9910382"/>
    <n v="660841223.68610168"/>
    <n v="715610191.79879713"/>
    <n v="818672509.70187223"/>
    <n v="850795019.90665114"/>
    <n v="969052667.63527012"/>
    <n v="1056083328.446866"/>
    <n v="1160537378.3762987"/>
    <n v="1164897262.3239992"/>
    <n v="1257542419.4683783"/>
    <n v="1264876403.8182576"/>
    <n v="1285096214.1090364"/>
    <n v="1307562598.5147104"/>
    <n v="1345777265.5546582"/>
    <n v="1336435819.9094617"/>
    <n v="1420450473.0366046"/>
    <n v="1458385073.2454312"/>
    <n v="1459096014.8733914"/>
    <n v="1409369089.4210594"/>
    <n v="1415238413.9427521"/>
    <n v="1475592833.9176006"/>
    <n v="1582830198.4140322"/>
    <n v="1576335771.3007903"/>
    <n v="1673993828.1094141"/>
    <n v="1702311418.6390035"/>
    <n v="1786564291.1736052"/>
    <n v="1736024182.0103936"/>
    <n v="1741753383.7753139"/>
    <n v="1817118056.5010221"/>
    <n v="1815141828.8933918"/>
    <n v="1778747792.8063979"/>
    <n v="1805796738.1267493"/>
    <n v="1807640740.7407405"/>
    <n v="1869604231.6787205"/>
    <n v="1932789910.3957412"/>
    <n v="1988585284.0628891"/>
    <n v="1975580731.7392316"/>
    <n v="1491476526.9109218"/>
    <n v="1673882763.8232536"/>
    <n v="1976443434.1388092"/>
    <n v="2039492177.33218"/>
  </r>
  <r>
    <x v="133"/>
    <s v="LCN"/>
    <s v="PIB (US$ a precios constantes de 2015)"/>
    <s v="NY.GDP.MKTP.KD"/>
    <n v="732992046477.5293"/>
    <n v="777943996869.60706"/>
    <n v="811489017278.35144"/>
    <n v="828409002439.41284"/>
    <n v="888623105578.14941"/>
    <n v="939108686658.89111"/>
    <n v="985627612135.12427"/>
    <n v="1028468895368.0214"/>
    <n v="1101628377193.22"/>
    <n v="1176914676538.2629"/>
    <n v="1253666094537.9209"/>
    <n v="1339869844539.3188"/>
    <n v="1435867030733.3306"/>
    <n v="1550612664853.0918"/>
    <n v="1647405411179.3806"/>
    <n v="1706487253872.0515"/>
    <n v="1799260430910.3665"/>
    <n v="1886881191726.4705"/>
    <n v="1972349562208.7493"/>
    <n v="2118119597271.3325"/>
    <n v="2258698759559.2324"/>
    <n v="2286283861461.3999"/>
    <n v="2282408651840.0088"/>
    <n v="2230330546700.4292"/>
    <n v="2317140359908.5225"/>
    <n v="2389707571479.3813"/>
    <n v="2472832838892.043"/>
    <n v="2554484473341.6328"/>
    <n v="2570071746255.4907"/>
    <n v="2614050940422.5547"/>
    <n v="2604161608704.5811"/>
    <n v="2680923554032.7617"/>
    <n v="2749842587096.624"/>
    <n v="2870702928381.8198"/>
    <n v="3020731134068.0083"/>
    <n v="3045761235217.8486"/>
    <n v="3166621852371.0991"/>
    <n v="3337318337533.4204"/>
    <n v="3436764677420.3633"/>
    <n v="3460116822409.1851"/>
    <n v="3585025962443.3257"/>
    <n v="3601275872939.1021"/>
    <n v="3617994478747.4531"/>
    <n v="3706816658900.478"/>
    <n v="3908311194005.647"/>
    <n v="4061978706191.2397"/>
    <n v="4270337495356.7119"/>
    <n v="4491618504568.1387"/>
    <n v="4655135327949.0225"/>
    <n v="4549040514093.9756"/>
    <n v="4839663904157.5869"/>
    <n v="5052393415398.9902"/>
    <n v="5182069130590.7725"/>
    <n v="5325108152089.751"/>
    <n v="5396280269302.0479"/>
    <n v="5418289197382.2969"/>
    <n v="5400149112047.373"/>
    <n v="5502202492604.0596"/>
    <n v="5588680955712.8809"/>
    <n v="5628849094809.5127"/>
    <n v="5254573089939.0986"/>
    <n v="5622224635718.4307"/>
    <n v="5846435071888.9414"/>
    <n v="5972313727330.5107"/>
  </r>
  <r>
    <x v="134"/>
    <s v="LDC"/>
    <s v="PIB (US$ a precios constantes de 2015)"/>
    <s v="NY.GDP.MKTP.KD"/>
    <m/>
    <n v="153927138736.5914"/>
    <n v="165467490064.71017"/>
    <n v="168848236757.8797"/>
    <n v="174974341250.23282"/>
    <n v="181424545406.81564"/>
    <n v="187541141489.93646"/>
    <n v="189598852071.76669"/>
    <n v="199443816271.36203"/>
    <n v="205894375354.66388"/>
    <n v="204434068523.42462"/>
    <n v="207959366633.28174"/>
    <n v="204884646034.74805"/>
    <n v="209548998652.04971"/>
    <n v="221508691212.90814"/>
    <n v="222541739642.61832"/>
    <n v="231226959956.59784"/>
    <n v="236052211254.64465"/>
    <n v="239903463250.73169"/>
    <n v="244476125801.88422"/>
    <n v="249562794669.93686"/>
    <n v="255710425098.41293"/>
    <n v="258467570727.13922"/>
    <n v="262778512588.78427"/>
    <n v="268919004458.80096"/>
    <n v="273419238349.95844"/>
    <n v="282779533590.40692"/>
    <n v="294661384759.58936"/>
    <n v="302767708412.49347"/>
    <n v="308099579459.89978"/>
    <n v="308181978662.16101"/>
    <n v="313602583210.63898"/>
    <n v="315010277077.43573"/>
    <n v="314272083053.9248"/>
    <n v="316645011131.59229"/>
    <n v="335078499018.17889"/>
    <n v="353890919262.78802"/>
    <n v="372982240272.76208"/>
    <n v="388022547875.7561"/>
    <n v="403843520521.36829"/>
    <n v="421399583888.69025"/>
    <n v="441987500291.91064"/>
    <n v="465316767677.13007"/>
    <n v="488541339753.75165"/>
    <n v="519714592039.00726"/>
    <n v="558306189355.82495"/>
    <n v="596670560375.1106"/>
    <n v="640022418042.8092"/>
    <n v="681271368662.86853"/>
    <n v="710284773347.07947"/>
    <n v="754595426392.85046"/>
    <n v="778806272615.02441"/>
    <n v="803317776895.63696"/>
    <n v="849115700606.5824"/>
    <n v="896796948313.56348"/>
    <n v="920864864683.30872"/>
    <n v="954700818592.87817"/>
    <n v="997453988691.2467"/>
    <n v="1042916952035.3379"/>
    <n v="1095126062430.9557"/>
    <n v="1094391497534.0631"/>
    <n v="1124729950885.605"/>
    <n v="1176809648484.2952"/>
    <n v="1220573768187.8088"/>
  </r>
  <r>
    <x v="135"/>
    <s v="LIC"/>
    <s v="PIB (US$ a precios constantes de 2015)"/>
    <s v="NY.GDP.MKTP.KD"/>
    <m/>
    <m/>
    <m/>
    <m/>
    <m/>
    <m/>
    <m/>
    <n v="103362542936.62701"/>
    <n v="106986303390.52106"/>
    <n v="113056524319.44232"/>
    <n v="116258565116.12604"/>
    <n v="121767771193.83755"/>
    <n v="123956369624.04204"/>
    <n v="125809995650.91197"/>
    <n v="133171177444.87915"/>
    <n v="136606859988.19073"/>
    <n v="140932975450.56216"/>
    <n v="144972858996.39221"/>
    <n v="144920489157.11856"/>
    <n v="145504142806.3479"/>
    <n v="149683105992.35562"/>
    <n v="153956654008.53812"/>
    <n v="155798779649.55444"/>
    <n v="158152074078.17053"/>
    <n v="156839465689.78458"/>
    <n v="157961305393.6734"/>
    <n v="162169531876.3436"/>
    <n v="170449391052.0361"/>
    <n v="176479509231.50903"/>
    <n v="176283972293.77173"/>
    <n v="171412999659.07846"/>
    <n v="173529631085.27869"/>
    <n v="173600660861.457"/>
    <n v="175498688498.57501"/>
    <n v="178279088639.31534"/>
    <n v="187331354863.16351"/>
    <n v="198129387786.57993"/>
    <n v="210403353789.45297"/>
    <n v="218937980721.87439"/>
    <n v="224790693828.50864"/>
    <n v="231990073462.56625"/>
    <n v="242026081779.7251"/>
    <n v="253737269003.07605"/>
    <n v="266095536740.53214"/>
    <n v="282430961009.51135"/>
    <n v="301014599084.02997"/>
    <n v="318837583190.6825"/>
    <n v="338340569585.92798"/>
    <n v="357091831321.10815"/>
    <n v="371927133160.68372"/>
    <n v="397898225559.26056"/>
    <n v="401025605052.68195"/>
    <n v="388128538100.30463"/>
    <n v="400902168722.16168"/>
    <n v="418504963966.62085"/>
    <n v="416120726145.31738"/>
    <n v="424539461080.99414"/>
    <n v="437439929873.26514"/>
    <n v="452383472328.62952"/>
    <n v="471535606626.99615"/>
    <n v="473159513311.60144"/>
    <n v="482952716656.77789"/>
    <n v="501000379397.92419"/>
    <n v="516058721060.62054"/>
  </r>
  <r>
    <x v="136"/>
    <s v="LIE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68515276.1744051"/>
    <m/>
    <m/>
    <m/>
    <m/>
    <m/>
    <m/>
    <m/>
    <m/>
  </r>
  <r>
    <x v="137"/>
    <s v="LKA"/>
    <s v="PIB (US$ a precios constantes de 2015)"/>
    <s v="NY.GDP.MKTP.KD"/>
    <m/>
    <n v="6530549444.9700031"/>
    <n v="6779887100.026741"/>
    <n v="6950519813.3097153"/>
    <n v="7222037271.130003"/>
    <n v="7405257001.0309315"/>
    <n v="7777281520.133172"/>
    <n v="8278062576.4553499"/>
    <n v="8758280781.6648998"/>
    <n v="9434141515.0675507"/>
    <n v="9797038019.2991009"/>
    <n v="9925076037.8756027"/>
    <n v="9884335594.5789852"/>
    <n v="10581912589.5361"/>
    <n v="10988875046.979103"/>
    <n v="11662079154.09561"/>
    <n v="12051021936.364111"/>
    <n v="12665695187.954554"/>
    <n v="13381792930.78167"/>
    <n v="14238703658.811169"/>
    <n v="15071102050.263947"/>
    <n v="15930083244.220417"/>
    <n v="16589826957.149916"/>
    <n v="17388459728.737553"/>
    <n v="18275122774.469719"/>
    <n v="19188770426.346592"/>
    <n v="20024546324.977894"/>
    <n v="20370092037.566181"/>
    <n v="20873780255.547253"/>
    <n v="21353731379.696674"/>
    <n v="22720369186.692257"/>
    <n v="23765503271.077576"/>
    <n v="24811183335.955837"/>
    <n v="26523170679.581116"/>
    <n v="28008446680.957653"/>
    <n v="29548935121.174164"/>
    <n v="30671784965.406971"/>
    <n v="32636435386.250851"/>
    <n v="34169833188.392876"/>
    <n v="35639320702.804451"/>
    <n v="37777691762.361794"/>
    <n v="37193872241.157158"/>
    <n v="38668488650.261047"/>
    <n v="40965500924.491066"/>
    <n v="43196097553.018906"/>
    <n v="45892289127.017059"/>
    <n v="49411443817.363953"/>
    <n v="52769853736.482307"/>
    <n v="55909706547.652832"/>
    <n v="57888301891.564407"/>
    <n v="62528609282.473541"/>
    <n v="67949516441.610893"/>
    <n v="73815041947.847"/>
    <n v="76805840200.417343"/>
    <n v="81704500476.909851"/>
    <n v="85140955388.850922"/>
    <n v="89443659904.152252"/>
    <n v="95222329687.411652"/>
    <n v="97422045729.83342"/>
    <n v="97207245817.516846"/>
    <n v="92711881360.060043"/>
    <n v="96612720767.473938"/>
    <n v="89514811807.920288"/>
    <n v="87457721050.970734"/>
  </r>
  <r>
    <x v="138"/>
    <s v="LMC"/>
    <s v="PIB (US$ a precios constantes de 2015)"/>
    <s v="NY.GDP.MKTP.KD"/>
    <n v="442692285185.81445"/>
    <n v="457158081603.02026"/>
    <n v="474476675262.66266"/>
    <n v="503455271258.85785"/>
    <n v="536326836460.9292"/>
    <n v="547437954818.05371"/>
    <n v="555116615271.9856"/>
    <n v="564189130280.03271"/>
    <n v="586197365701.20044"/>
    <n v="632399375187.25488"/>
    <n v="677956716047.93005"/>
    <n v="710553013507.57544"/>
    <n v="722731871906.24011"/>
    <n v="755809796171.54773"/>
    <n v="792434999291.7478"/>
    <n v="820188056214.06836"/>
    <n v="865216723838.80774"/>
    <n v="914683358172.19324"/>
    <n v="949237013174.63416"/>
    <n v="964080019560.79749"/>
    <n v="1014552688482.1542"/>
    <n v="1034953748202.1864"/>
    <n v="1057981156992.14"/>
    <n v="1082030646865.391"/>
    <n v="1111223835237.5352"/>
    <n v="1155437272323.6658"/>
    <n v="1199948456588.9175"/>
    <n v="1243296384650.2988"/>
    <n v="1326660993536.6221"/>
    <n v="1375451310785.2046"/>
    <n v="1445876170937.0747"/>
    <n v="1476206203009.5508"/>
    <n v="1530759804453.1091"/>
    <n v="1566801539345.0281"/>
    <n v="1629674694484.1235"/>
    <n v="1713061231677.0745"/>
    <n v="1821787657015.9814"/>
    <n v="1894215452434.9087"/>
    <n v="1979954960895.7756"/>
    <n v="2086076609080.3042"/>
    <n v="2173817731952.801"/>
    <n v="2268267148803.8691"/>
    <n v="2370632069686.2695"/>
    <n v="2511439731686.1763"/>
    <n v="2689345116267.3984"/>
    <n v="2869681525431.2681"/>
    <n v="3069449407201.937"/>
    <n v="3281033482983.5752"/>
    <n v="3431423528666.9028"/>
    <n v="3635432438764.4185"/>
    <n v="3884925272533.376"/>
    <n v="4069626965544.8442"/>
    <n v="4279661410855.2573"/>
    <n v="4522508393616.1816"/>
    <n v="4798946008322.5117"/>
    <n v="5083698600746.0654"/>
    <n v="5373089382024.3574"/>
    <n v="5666309107432.5488"/>
    <n v="5974496074247.4424"/>
    <n v="6216840942369.7607"/>
    <n v="5993947957778.084"/>
    <n v="6392626451795.625"/>
    <n v="6764824768803.0186"/>
    <n v="7122795433047.9678"/>
  </r>
  <r>
    <x v="139"/>
    <s v="LMY"/>
    <s v="PIB (US$ a precios constantes de 2015)"/>
    <s v="NY.GDP.MKTP.KD"/>
    <n v="1682095632275.2278"/>
    <n v="1699189354868.4197"/>
    <n v="1760129370459.7688"/>
    <n v="1844725393707.2854"/>
    <n v="1989330265056.4397"/>
    <n v="2109867171302.5176"/>
    <n v="2214060801467.3418"/>
    <n v="2285478391711.2915"/>
    <n v="2425172340361.9575"/>
    <n v="2622848266200.7803"/>
    <n v="2830937119803.376"/>
    <n v="3005819601317.188"/>
    <n v="3190908523738.4043"/>
    <n v="3410147254546.9712"/>
    <n v="3615243641432.1816"/>
    <n v="3769466587048.29"/>
    <n v="4004913979233.4736"/>
    <n v="4188053157894.0459"/>
    <n v="4342264501918.54"/>
    <n v="4540961929618.4258"/>
    <n v="4755260948439.4434"/>
    <n v="4845962771463.8545"/>
    <n v="4983122328321.3398"/>
    <n v="5063654494205.1104"/>
    <n v="5298811703465.5576"/>
    <n v="5533850093526.4365"/>
    <n v="5737870476367.4102"/>
    <n v="6005175936010.5781"/>
    <n v="6250590607612.5732"/>
    <n v="6442222658603.9883"/>
    <n v="6643974035779.4033"/>
    <n v="6831263846657.0957"/>
    <n v="7120962860145.4287"/>
    <n v="7478294681056.2559"/>
    <n v="7861229666831.4395"/>
    <n v="8220957939676.2861"/>
    <n v="8732373353423.291"/>
    <n v="9224731686072.9746"/>
    <n v="9529134011016.7148"/>
    <n v="9876155852025.3359"/>
    <n v="10422423393093.125"/>
    <n v="10800896127373.377"/>
    <n v="11311867934880.654"/>
    <n v="11975212385188.26"/>
    <n v="12892486176037.902"/>
    <n v="13835656697879.668"/>
    <n v="14971207317298.469"/>
    <n v="16292983342868.275"/>
    <n v="17256316527396.234"/>
    <n v="17942337306642.637"/>
    <n v="19405979163512.91"/>
    <n v="20644562219915.141"/>
    <n v="21774990697877.238"/>
    <n v="22995058989439.586"/>
    <n v="24181128441267.023"/>
    <n v="25326526306958.891"/>
    <n v="26532432467422.828"/>
    <n v="27949262865055.18"/>
    <n v="29343982317550.164"/>
    <n v="30542800682261.004"/>
    <n v="30179437051569.859"/>
    <n v="32420123215559.598"/>
    <n v="33667981925461.145"/>
    <n v="35189462676634.906"/>
  </r>
  <r>
    <x v="140"/>
    <s v="LSO"/>
    <s v="PIB (US$ a precios constantes de 2015)"/>
    <s v="NY.GDP.MKTP.KD"/>
    <n v="193508327.02663818"/>
    <n v="197116860.95411786"/>
    <n v="227338452.08332273"/>
    <n v="251470587.89727715"/>
    <n v="272219723.1508249"/>
    <n v="278083623.36553341"/>
    <n v="276955934.79669839"/>
    <n v="307177536.77634448"/>
    <n v="306049826.48490262"/>
    <n v="310786059.84252185"/>
    <n v="317552093.5472455"/>
    <n v="333790811.20413482"/>
    <n v="333114189.36944687"/>
    <n v="421072594.87092072"/>
    <n v="467306740.33434689"/>
    <n v="404157255.39020455"/>
    <n v="448813112.5541091"/>
    <n v="546694921.20191073"/>
    <n v="646832345.94691741"/>
    <n v="665551148.67121851"/>
    <n v="647283238.91107178"/>
    <n v="651779515.18854368"/>
    <n v="680830657.09095144"/>
    <n v="694353079.71734679"/>
    <n v="732784813.23264682"/>
    <n v="751912323.91221726"/>
    <n v="787138333.81104207"/>
    <n v="792882304.36154222"/>
    <n v="861085398.57053375"/>
    <n v="910987401.97664917"/>
    <n v="966060902.39765501"/>
    <n v="1033362571.7129211"/>
    <n v="1105247043.4993382"/>
    <n v="1144038630.1899645"/>
    <n v="1212450693.4710336"/>
    <n v="1252351695.5617545"/>
    <n v="1322446271.5438147"/>
    <n v="1371424437.0969481"/>
    <n v="1392512225.7903533"/>
    <n v="1399140932.8400798"/>
    <n v="1453365294.1511989"/>
    <n v="1505128088.4481993"/>
    <n v="1516022748.4094505"/>
    <n v="1585150007.4901242"/>
    <n v="1611976676.829483"/>
    <n v="1667849758.7280419"/>
    <n v="1738401391.7830751"/>
    <n v="1811204148.776706"/>
    <n v="1911244554.9902272"/>
    <n v="1887282177.3200929"/>
    <n v="1986735734.7651005"/>
    <n v="2078451680.2808068"/>
    <n v="2210102550.3464499"/>
    <n v="2249719203.369813"/>
    <n v="2288201773.0760531"/>
    <n v="2359686724.5382862"/>
    <n v="2444845631.3955274"/>
    <n v="2368122098.5345502"/>
    <n v="2333058897.5102983"/>
    <n v="2299976266.2734575"/>
    <n v="2128427544.1373215"/>
    <n v="2167860464.0842705"/>
    <n v="2195728399.7654071"/>
    <n v="2215449329.5089641"/>
  </r>
  <r>
    <x v="141"/>
    <s v="LTE"/>
    <s v="PIB (US$ a precios constantes de 2015)"/>
    <s v="NY.GDP.MKTP.KD"/>
    <n v="969374410931.45642"/>
    <n v="933248938717.75"/>
    <n v="960729325841.76501"/>
    <n v="1000392671149.8389"/>
    <n v="1072435653844.524"/>
    <n v="1143416750192.6458"/>
    <n v="1231340921353.7336"/>
    <n v="1253421591730.2908"/>
    <n v="1318727931466.0952"/>
    <n v="1449890584995.2568"/>
    <n v="1606678284819.2534"/>
    <n v="1743419250049.0405"/>
    <n v="1880703347669.6953"/>
    <n v="2065698379724.2783"/>
    <n v="2169129869977.251"/>
    <n v="2262764279578.314"/>
    <n v="2412279229567.7485"/>
    <n v="2564620298868.8691"/>
    <n v="2734879609333.7275"/>
    <n v="2945989716111.2554"/>
    <n v="3163096603630.9331"/>
    <n v="3169151245970.7568"/>
    <n v="3230088187594.2505"/>
    <n v="3286013633723.9116"/>
    <n v="3543197152252.5752"/>
    <n v="3799963671493.27"/>
    <n v="4020426917871.7344"/>
    <n v="4279066959057.2485"/>
    <n v="4498402022970.1494"/>
    <n v="4711445898400.3242"/>
    <n v="4721842546892.1865"/>
    <n v="4743780140768.9414"/>
    <n v="4780336051181.1357"/>
    <n v="4985629208645.9463"/>
    <n v="5206021937447.8398"/>
    <n v="5497929502265.2285"/>
    <n v="5777107641748.002"/>
    <n v="6100326346403.0908"/>
    <n v="6273545940261.6572"/>
    <n v="6563504154756.04"/>
    <n v="7021847323179.6465"/>
    <n v="7385911567571.7939"/>
    <n v="7827816450178.8203"/>
    <n v="8361745392994.9922"/>
    <n v="9045507192409.5664"/>
    <n v="9745672395015.9512"/>
    <n v="10650476774780.123"/>
    <n v="11737888014877.088"/>
    <n v="12550333947713.447"/>
    <n v="13014212290768.277"/>
    <n v="14057211132781.041"/>
    <n v="15067324874342.307"/>
    <n v="15943581310746.984"/>
    <n v="16838245881772.756"/>
    <n v="17718152879938.527"/>
    <n v="18550881244485.988"/>
    <n v="19380522752676.586"/>
    <n v="20408468386025.672"/>
    <n v="21515458693306.98"/>
    <n v="22516142438577.723"/>
    <n v="22561141956728.508"/>
    <n v="24241853178494.207"/>
    <n v="25012141151926.133"/>
    <n v="26060137413101.695"/>
  </r>
  <r>
    <x v="142"/>
    <s v="LTU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889999355.441582"/>
    <n v="29136787092.174671"/>
    <n v="22942606101.208794"/>
    <n v="19219740983.119278"/>
    <n v="17342731077.326656"/>
    <n v="17913320835.873428"/>
    <n v="18837373099.266006"/>
    <n v="20402932401.86327"/>
    <n v="21928206400.914833"/>
    <n v="21677880321.5578"/>
    <n v="22478991899.591782"/>
    <n v="23945995391.14061"/>
    <n v="25562688814.32811"/>
    <n v="28263631519.621078"/>
    <n v="30120407999.159359"/>
    <n v="32449428669.360142"/>
    <n v="34855268683.569122"/>
    <n v="38726810730.70623"/>
    <n v="39739293390.507401"/>
    <n v="33842535273.854671"/>
    <n v="34401356974.398422"/>
    <n v="36478857729.371857"/>
    <n v="37881055682.492165"/>
    <n v="39225860752.806229"/>
    <n v="40613283322.762085"/>
    <n v="41435533340.38826"/>
    <n v="42479223269.264038"/>
    <n v="44298437189.890213"/>
    <n v="46067411257.315994"/>
    <n v="48216768505.137871"/>
    <n v="48204901155.259743"/>
    <n v="51234439417.265991"/>
    <n v="52484649637.551147"/>
    <n v="52308255949.660912"/>
  </r>
  <r>
    <x v="143"/>
    <s v="LUX"/>
    <s v="PIB (US$ a precios constantes de 2015)"/>
    <s v="NY.GDP.MKTP.KD"/>
    <n v="8747571197.9012814"/>
    <n v="9082601698.3431454"/>
    <n v="9206004979.5597401"/>
    <n v="9522609483.0400524"/>
    <n v="10271641644.079346"/>
    <n v="10196151897.905153"/>
    <n v="10308911561.046459"/>
    <n v="10331254148.737089"/>
    <n v="10763500642.407722"/>
    <n v="11836929271.204498"/>
    <n v="12045251394.033588"/>
    <n v="12366526384.694525"/>
    <n v="13182494340.333977"/>
    <n v="14278311403.837099"/>
    <n v="14879781670.383583"/>
    <n v="13901975726.466005"/>
    <n v="14254298216.345303"/>
    <n v="14478058119.04921"/>
    <n v="15068034941.561708"/>
    <n v="15421472491.896084"/>
    <n v="15551149030.013662"/>
    <n v="15465469116.060928"/>
    <n v="15640430422.809366"/>
    <n v="16107934774.403116"/>
    <n v="17104522552.533195"/>
    <n v="17582030272.34882"/>
    <n v="19337409478.325771"/>
    <n v="20101425602.374599"/>
    <n v="21802666126.853504"/>
    <n v="23938905603.76952"/>
    <n v="25212438894.528503"/>
    <n v="27391849518.018738"/>
    <n v="27890285979.490219"/>
    <n v="29061859473.652325"/>
    <n v="30172289931.43787"/>
    <n v="30604417464.514042"/>
    <n v="31032290015.654671"/>
    <n v="32714188401.911308"/>
    <n v="34897700894.558182"/>
    <n v="37750651303.918335"/>
    <n v="40369840661.378494"/>
    <n v="41610952875.960526"/>
    <n v="42953079582.156616"/>
    <n v="44078183347.920677"/>
    <n v="45943524157.461693"/>
    <n v="47084244317.161301"/>
    <n v="49917169128.358566"/>
    <n v="53959794734.691376"/>
    <n v="53797820276.327705"/>
    <n v="52055333610.139816"/>
    <n v="54012829450.863258"/>
    <n v="54576884723.71209"/>
    <n v="55477349852.562866"/>
    <n v="57236975164.372238"/>
    <n v="58738350255.759735"/>
    <n v="60071584216.137466"/>
    <n v="63062062076.829262"/>
    <n v="63892707778.498795"/>
    <n v="64671765568.805817"/>
    <n v="66557495896.737839"/>
    <n v="65951935965.676514"/>
    <n v="70679635853.890182"/>
    <n v="71655146215.637054"/>
    <n v="70870003856.637833"/>
  </r>
  <r>
    <x v="144"/>
    <s v="LVA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42332815.611866"/>
    <n v="18916432996.612549"/>
    <n v="12840745135.308519"/>
    <n v="12200893393.501579"/>
    <n v="12468082195.987616"/>
    <n v="12350288663.540234"/>
    <n v="12669916027.558594"/>
    <n v="13789545456.72031"/>
    <n v="14663242477.571873"/>
    <n v="15067386986.033592"/>
    <n v="15922572893.817968"/>
    <n v="16929438089.853905"/>
    <n v="18129418442.554688"/>
    <n v="19656434376.844532"/>
    <n v="21284802094.667187"/>
    <n v="23566610772.346092"/>
    <n v="26387966692.632809"/>
    <n v="29011437660.337887"/>
    <n v="28068821027.259369"/>
    <n v="24066167841.837105"/>
    <n v="22993883546.744137"/>
    <n v="23585679970.397259"/>
    <n v="25246641848.407806"/>
    <n v="25753586054.724602"/>
    <n v="26243463733.757801"/>
    <n v="27263090547.061707"/>
    <n v="27908848130.150379"/>
    <n v="28833322008.441395"/>
    <n v="29983921270.919128"/>
    <n v="30160077523.050774"/>
    <n v="29100311861.902725"/>
    <n v="31059267821.590221"/>
    <n v="31976985875.890221"/>
    <n v="31886638241.206627"/>
  </r>
  <r>
    <x v="145"/>
    <s v="MAC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n v="5862889255.9118576"/>
    <n v="6450546444.0958948"/>
    <n v="6996228118.8382149"/>
    <n v="7047479988.8416367"/>
    <n v="7519182720.0043564"/>
    <n v="8593964582.1349487"/>
    <n v="9265224933.831356"/>
    <n v="9730782078.771946"/>
    <n v="10507329077.44371"/>
    <n v="10891834056.926399"/>
    <n v="12340337134.036697"/>
    <n v="12980289782.337349"/>
    <n v="13532348952.215843"/>
    <n v="13978309793.919832"/>
    <n v="13919752793.124067"/>
    <n v="13880908050.021927"/>
    <n v="13246405261.201277"/>
    <n v="12934023953.985847"/>
    <n v="13677292023.492491"/>
    <n v="14072348858.564119"/>
    <n v="15326280356.792648"/>
    <n v="17110355632.52264"/>
    <n v="21666901975.632336"/>
    <n v="23416654732.084019"/>
    <n v="26552179204.397469"/>
    <n v="30396069454.654144"/>
    <n v="31426904577.573658"/>
    <n v="31827411272.12529"/>
    <n v="39823282764.944283"/>
    <n v="48431741654.206902"/>
    <n v="52907931558.600822"/>
    <n v="58597005083.437721"/>
    <n v="57396760498.810066"/>
    <n v="45048190598.324852"/>
    <n v="44742302740.702614"/>
    <n v="49153906012.53566"/>
    <n v="52302301429.578476"/>
    <n v="50961520043.040977"/>
    <n v="23271131888.522259"/>
    <n v="28748124711.467171"/>
    <n v="22595465267.459042"/>
    <n v="40792546071.185471"/>
  </r>
  <r>
    <x v="146"/>
    <s v="MAF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7"/>
    <s v="MAR"/>
    <s v="PIB (US$ a precios constantes de 2015)"/>
    <s v="NY.GDP.MKTP.KD"/>
    <m/>
    <m/>
    <m/>
    <m/>
    <m/>
    <m/>
    <n v="11518527478.274797"/>
    <n v="12673702326.072863"/>
    <n v="13927351920.641264"/>
    <n v="15091980118.051413"/>
    <n v="15803334620.797211"/>
    <n v="16687830454.122883"/>
    <n v="17094552490.379927"/>
    <n v="17703000748.837944"/>
    <n v="18693669512.422295"/>
    <n v="20106578472.109207"/>
    <n v="22280658838.085884"/>
    <n v="23630681317.108181"/>
    <n v="24158274887.281342"/>
    <n v="25316371177.799648"/>
    <n v="26238435140.845318"/>
    <n v="25780985097.398109"/>
    <n v="28090283843.674202"/>
    <n v="28479775173.59581"/>
    <n v="30307717167.668106"/>
    <n v="32128499365.934589"/>
    <n v="35107166524.295776"/>
    <n v="34993066802.222397"/>
    <n v="39148576061.208168"/>
    <n v="40262823843.601799"/>
    <n v="41636515790.157005"/>
    <n v="44641043473.691475"/>
    <n v="43704591004.544037"/>
    <n v="43380918430.900177"/>
    <n v="47974090254.8843"/>
    <n v="45380875814.102768"/>
    <n v="50995795428.846565"/>
    <n v="50199902853.478188"/>
    <n v="53833649265.289803"/>
    <n v="54747239388.772461"/>
    <n v="56160912155.757317"/>
    <n v="60497559620.778931"/>
    <n v="62754238001.606049"/>
    <n v="66626866131.845871"/>
    <n v="69672633474.866165"/>
    <n v="71896757928.961761"/>
    <n v="77498104932.52211"/>
    <n v="80164867241.316711"/>
    <n v="84721870674.823654"/>
    <n v="87895356582.823151"/>
    <n v="90971304769.4422"/>
    <n v="95997146621.965637"/>
    <n v="98936909179.352371"/>
    <n v="103015299181.34805"/>
    <n v="105816536606.04016"/>
    <n v="110413823841.59187"/>
    <n v="110989284688.17365"/>
    <n v="116603009678.13899"/>
    <n v="120177639735.15857"/>
    <n v="123651944968.71309"/>
    <n v="114775951852.21281"/>
    <n v="123982113010.80888"/>
    <n v="125542482435.60249"/>
    <n v="129532155782.89392"/>
  </r>
  <r>
    <x v="148"/>
    <s v="MCO"/>
    <s v="PIB (US$ a precios constantes de 2015)"/>
    <s v="NY.GDP.MKTP.KD"/>
    <m/>
    <m/>
    <m/>
    <m/>
    <m/>
    <m/>
    <m/>
    <m/>
    <m/>
    <m/>
    <n v="1765494599.9928994"/>
    <n v="1857795717.3844709"/>
    <n v="1944151814.4623039"/>
    <n v="2071566809.924566"/>
    <n v="2164261367.333005"/>
    <n v="2143210949.7900279"/>
    <n v="2237761460.9667187"/>
    <n v="2317274408.5756459"/>
    <n v="2408889041.1618724"/>
    <n v="2494024116.3987808"/>
    <n v="2536059831.2684674"/>
    <n v="2559451898.4992566"/>
    <n v="2621707737.1014361"/>
    <n v="2653036445.8493805"/>
    <n v="2692421186.5814576"/>
    <n v="2738426578.8762178"/>
    <n v="2805582785.1766977"/>
    <n v="2875289570.3863964"/>
    <n v="3007512678.9908319"/>
    <n v="3132735260.6608343"/>
    <n v="3215547681.5607343"/>
    <n v="3248189614.1896067"/>
    <n v="3292580662.1145663"/>
    <n v="3262489148.3778391"/>
    <n v="3334773663.4442778"/>
    <n v="3405375867.1692848"/>
    <n v="3443200492.1509042"/>
    <n v="3520233452.1695857"/>
    <n v="3643556568.7806759"/>
    <n v="3763813663.9948916"/>
    <n v="3910987404.0302048"/>
    <n v="3996549408.7479396"/>
    <n v="4037573814.1391726"/>
    <n v="4081483913.1307435"/>
    <n v="4182316327.0184383"/>
    <n v="4260763182.6415777"/>
    <n v="4507633843.7374821"/>
    <n v="5158474677.5357742"/>
    <n v="5196627416.068778"/>
    <n v="4607616461.4813242"/>
    <n v="4702773879.9401073"/>
    <n v="5033019496.1243105"/>
    <n v="5083964623.4595566"/>
    <n v="5570860895.5027962"/>
    <n v="5971240222.2256079"/>
    <n v="6261649890.8238802"/>
    <n v="6447251742.3932552"/>
    <n v="6250989566.8220119"/>
    <n v="6612318443.5169268"/>
    <n v="7080699415.9779749"/>
    <n v="6159422994.3428059"/>
    <n v="7506326878.4946861"/>
    <n v="8339290931.8196392"/>
    <m/>
  </r>
  <r>
    <x v="149"/>
    <s v="MDA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137693132.532694"/>
    <n v="9355662201.1061172"/>
    <n v="6633164508.2894316"/>
    <n v="6553566538.6324015"/>
    <n v="4528514463.3744478"/>
    <n v="4465115303.6855726"/>
    <n v="4202697785.436583"/>
    <n v="4271918931.2401319"/>
    <n v="3992441789.3799"/>
    <n v="3857966190.0845733"/>
    <n v="3939281163.9113913"/>
    <n v="4179577330.6392097"/>
    <n v="4505584348.1239767"/>
    <n v="4802952913.1977739"/>
    <n v="5158371415.9784737"/>
    <n v="5545249279.8820534"/>
    <n v="5811421236.2614613"/>
    <n v="5985763886.4747047"/>
    <n v="6452653478.3239431"/>
    <n v="6065494252.6199408"/>
    <n v="6496144351.0495749"/>
    <n v="6874100822.5327358"/>
    <n v="6833561915.897646"/>
    <n v="7451580071.7711344"/>
    <n v="7824131195.5766211"/>
    <n v="7797667196.7308722"/>
    <n v="8159947934.6382761"/>
    <n v="8500675703.9574804"/>
    <n v="8847128857.5146141"/>
    <n v="9161406662.0689583"/>
    <n v="8403210632.930213"/>
    <n v="9573777856.3648167"/>
    <n v="9093606720.6954403"/>
    <n v="9164831732.3835201"/>
  </r>
  <r>
    <x v="150"/>
    <s v="MDG"/>
    <s v="PIB (US$ a precios constantes de 2015)"/>
    <s v="NY.GDP.MKTP.KD"/>
    <n v="4151435154.8826118"/>
    <n v="4236482815.0859771"/>
    <n v="4332696292.6922255"/>
    <n v="4292428143.037365"/>
    <n v="4462516417.1783161"/>
    <n v="4442334514.2768793"/>
    <n v="4534048838.4582787"/>
    <n v="4784716703.2672472"/>
    <n v="5111454772.3453579"/>
    <n v="5301663360.4459553"/>
    <n v="5581403272.4187765"/>
    <n v="5800716980.8322144"/>
    <n v="5726895807.5835743"/>
    <n v="5576938281.8996286"/>
    <n v="5688860706.2927017"/>
    <n v="5760465920.1029596"/>
    <n v="5583685378.335928"/>
    <n v="5715683720.6883926"/>
    <n v="5563543310.5229759"/>
    <n v="6111811047.7542267"/>
    <n v="6170038735.2143278"/>
    <n v="5565374939.1102905"/>
    <n v="5459632815.2664719"/>
    <n v="5508769510.5709047"/>
    <n v="5605733876.7747326"/>
    <n v="5670555451.89363"/>
    <n v="5781711090.7885017"/>
    <n v="5849641181.110714"/>
    <n v="6048934315.2116518"/>
    <n v="6295421169.566597"/>
    <n v="6492398920.4867067"/>
    <n v="6082965417.7811041"/>
    <n v="6154798240.8070755"/>
    <n v="6284044275.8162508"/>
    <n v="6281398611.3187847"/>
    <n v="6386837686.0725346"/>
    <n v="6524423229.1094179"/>
    <n v="6765402319.3730507"/>
    <n v="7030408175.5626707"/>
    <n v="7360783017.3464756"/>
    <n v="7688842733.2773933"/>
    <n v="8148653656.6986179"/>
    <n v="7137571065.486969"/>
    <n v="7835974694.5716486"/>
    <n v="8247912168.091135"/>
    <n v="8640170094.3764782"/>
    <n v="9106610406.8893414"/>
    <n v="9626649240.5139599"/>
    <n v="10272850829.860613"/>
    <n v="9864124029.2305374"/>
    <n v="9925206605.6783543"/>
    <n v="10081868751.874582"/>
    <n v="10385448752.875628"/>
    <n v="10624353147.158657"/>
    <n v="10979121878.073528"/>
    <n v="11323020701.301685"/>
    <n v="11775165456.534592"/>
    <n v="12238318933.716471"/>
    <n v="12629254472.201223"/>
    <n v="13186360203.144243"/>
    <n v="12245161113.128405"/>
    <n v="12947986307.587513"/>
    <n v="13439517645.878988"/>
    <n v="13975132286.380466"/>
  </r>
  <r>
    <x v="151"/>
    <s v="MDV"/>
    <s v="PIB (US$ a precios constantes de 2015)"/>
    <s v="NY.GDP.MKTP.KD"/>
    <m/>
    <m/>
    <m/>
    <m/>
    <m/>
    <m/>
    <m/>
    <m/>
    <m/>
    <m/>
    <n v="188293031.14724231"/>
    <n v="198097875.49911204"/>
    <n v="202900248.2428849"/>
    <n v="206101830.07206681"/>
    <n v="217907663.00666744"/>
    <n v="200499061.87099814"/>
    <n v="201699655.05694184"/>
    <n v="224395614.31222671"/>
    <n v="257347488.34526202"/>
    <n v="284791556.26705682"/>
    <n v="337685486.46950305"/>
    <n v="377413190.767151"/>
    <n v="366044706.62639827"/>
    <n v="425550015.65827507"/>
    <n v="540259045.1216892"/>
    <n v="623545614.99459779"/>
    <n v="681913157.86148643"/>
    <n v="742120332.28069973"/>
    <n v="806909973.75230396"/>
    <n v="882168920.36931658"/>
    <n v="1031716819.830092"/>
    <n v="1046601357.7456853"/>
    <n v="1116418306.0671842"/>
    <n v="1178455091.8577542"/>
    <n v="1269779307.1072388"/>
    <n v="1434670112.3632419"/>
    <n v="1547415774.6838491"/>
    <n v="1677366833.9213767"/>
    <n v="1803080163.5117912"/>
    <n v="1914432188.6946015"/>
    <n v="1988057617.6931007"/>
    <n v="1909655895.7873149"/>
    <n v="2048457065.3947787"/>
    <n v="2330120929.1262889"/>
    <n v="2465649312.3391533"/>
    <n v="2188925391.7492499"/>
    <n v="2705638704.3110313"/>
    <n v="2898372920.1436944"/>
    <n v="3158641500.6339908"/>
    <n v="2900967006.1877232"/>
    <n v="3099261774.9495673"/>
    <n v="3364952162.1091771"/>
    <n v="3444491134.3303804"/>
    <n v="3684339547.2292547"/>
    <n v="3971758368.3186111"/>
    <n v="4129505319.1292052"/>
    <n v="4400906157.0697289"/>
    <n v="4711369798.8816338"/>
    <n v="5119751627.1398716"/>
    <n v="5493408290.2063332"/>
    <n v="3685591962.0546274"/>
    <n v="5074588091.7199116"/>
    <n v="5780294635.2579212"/>
    <n v="6009933940.4372177"/>
  </r>
  <r>
    <x v="152"/>
    <s v="MEA"/>
    <s v="PIB (US$ a precios constantes de 2015)"/>
    <s v="NY.GDP.MKTP.KD"/>
    <m/>
    <n v="235743383523.05524"/>
    <n v="248365107578.94809"/>
    <n v="275268166019.67993"/>
    <n v="302415028239.49365"/>
    <n v="338760561400.01019"/>
    <n v="361501085549.73444"/>
    <n v="390282622942.93121"/>
    <n v="440282854458.26129"/>
    <n v="488300243131.07623"/>
    <n v="573907846732.9176"/>
    <n v="635131662682.88281"/>
    <n v="732798956122.04724"/>
    <n v="820017962758.42468"/>
    <n v="894486407473.13599"/>
    <n v="883496931713.32288"/>
    <n v="1016551432286.6912"/>
    <n v="1058869352684.4215"/>
    <n v="1034840169186.9742"/>
    <n v="1096578799600.5093"/>
    <n v="1107067321626.9653"/>
    <n v="1104584668276.2261"/>
    <n v="1069564923688.6279"/>
    <n v="1047908735387.9316"/>
    <n v="1045321431877.3715"/>
    <n v="1042802101058.7277"/>
    <n v="1053358068022.1334"/>
    <n v="1050502429779.4652"/>
    <n v="1083773889602.4907"/>
    <n v="1122468002704.8101"/>
    <n v="1237749717726.3992"/>
    <n v="1282045690583.7749"/>
    <n v="1358328233497.657"/>
    <n v="1385967818684.6494"/>
    <n v="1426100674933.2813"/>
    <n v="1468515165324.5593"/>
    <n v="1541202543140.5015"/>
    <n v="1604050198454.939"/>
    <n v="1674427074161.9617"/>
    <n v="1707847751557.0349"/>
    <n v="1823381054333.2847"/>
    <n v="1851271641791.2666"/>
    <n v="1879466172170.1431"/>
    <n v="1974532808796.8101"/>
    <n v="2129341506963.8208"/>
    <n v="2235376038945.9531"/>
    <n v="2367177382243.8491"/>
    <n v="2489336653102.5752"/>
    <n v="2603249382557.2769"/>
    <n v="2618730057876.2251"/>
    <n v="2751243787290.5098"/>
    <n v="2854349202002.2915"/>
    <n v="2966791732922.501"/>
    <n v="3031273765759.4268"/>
    <n v="3117146187114.5854"/>
    <n v="3201010427587.3901"/>
    <n v="3340566600581.687"/>
    <n v="3405949626458.7554"/>
    <n v="3483001040137.4668"/>
    <n v="3531008972396.9448"/>
    <n v="3388945910572.0747"/>
    <n v="3577808167333.8643"/>
    <n v="3783473556301.0562"/>
    <n v="3850820889666.0703"/>
  </r>
  <r>
    <x v="153"/>
    <s v="MEX"/>
    <s v="PIB (US$ a precios constantes de 2015)"/>
    <s v="NY.GDP.MKTP.KD"/>
    <n v="152252652596.92477"/>
    <n v="159865285227.86557"/>
    <n v="167322065048.28873"/>
    <n v="180886675666.72717"/>
    <n v="202422104046.08292"/>
    <n v="216794073428.22269"/>
    <n v="230010142144.10904"/>
    <n v="243477063180.694"/>
    <n v="266420585702.86786"/>
    <n v="275528493192.43237"/>
    <n v="293444689473.3042"/>
    <n v="304485451087.96899"/>
    <n v="329540972152.40845"/>
    <n v="355446582963.25983"/>
    <n v="375980117956.71948"/>
    <n v="397578239618.54364"/>
    <n v="415141036251.60883"/>
    <n v="429216973065.05286"/>
    <n v="467661689803.89215"/>
    <n v="513016316146.83752"/>
    <n v="557939217934.8877"/>
    <n v="611422385105.06421"/>
    <n v="611119202965.58972"/>
    <n v="582860269033.10913"/>
    <n v="603338559533.2168"/>
    <n v="614917928411.61743"/>
    <n v="590751900359.02515"/>
    <n v="602941257829.79529"/>
    <n v="610286657409.9071"/>
    <n v="632412287308.1637"/>
    <n v="665614206222.85803"/>
    <n v="692078394538.28699"/>
    <n v="716775997861.72534"/>
    <n v="737325961811.20178"/>
    <n v="769725007521.97009"/>
    <n v="724231953299.776"/>
    <n v="769266848274.16296"/>
    <n v="824645415966.3302"/>
    <n v="875650385843.30957"/>
    <n v="899774820109.76392"/>
    <n v="945027051117.63062"/>
    <n v="940766441516.06018"/>
    <n v="938540700989.3186"/>
    <n v="949667522095.50049"/>
    <n v="983527357381.89636"/>
    <n v="1004311720993.8546"/>
    <n v="1052569035045.5612"/>
    <n v="1074439987409.3038"/>
    <n v="1084575522159.7455"/>
    <n v="1016298775551.1674"/>
    <n v="1066822388048.9789"/>
    <n v="1103564231781.6218"/>
    <n v="1142776194808.0833"/>
    <n v="1152513808584.6162"/>
    <n v="1181370028689.6865"/>
    <n v="1213294467716.8804"/>
    <n v="1234800030119.6985"/>
    <n v="1257912134612.2993"/>
    <n v="1282719194577.9504"/>
    <n v="1279495262606.7017"/>
    <n v="1169144480610.2234"/>
    <n v="1236244118120.968"/>
    <n v="1285063398333.6772"/>
    <n v="1326554712608.3315"/>
  </r>
  <r>
    <x v="154"/>
    <s v="MHL"/>
    <s v="PIB (US$ a precios constantes de 2015)"/>
    <s v="NY.GDP.MKTP.KD"/>
    <m/>
    <m/>
    <m/>
    <m/>
    <m/>
    <m/>
    <m/>
    <m/>
    <m/>
    <m/>
    <n v="45931280.416639395"/>
    <n v="46992252.098394491"/>
    <n v="47500634.472420886"/>
    <n v="63614160.410135381"/>
    <n v="73361847.820680276"/>
    <n v="73406055.808962584"/>
    <n v="73671297.411176383"/>
    <n v="75461688.244629279"/>
    <n v="79705581.299128875"/>
    <n v="81407557.210597277"/>
    <n v="75550102.112033963"/>
    <n v="80412894.347525761"/>
    <n v="84297824.913640454"/>
    <n v="97370734.656136036"/>
    <n v="101135112.45386994"/>
    <n v="94806792.506862447"/>
    <n v="118074748.91436395"/>
    <n v="129130977.68917294"/>
    <n v="139189049.93229896"/>
    <n v="136834515.69945794"/>
    <n v="140496544.58802295"/>
    <n v="140619936.02097195"/>
    <n v="150661406.85862795"/>
    <n v="159710493.54753295"/>
    <n v="169097840.28022796"/>
    <n v="182986275.10530895"/>
    <n v="164133296.58355695"/>
    <n v="153553817.74902296"/>
    <n v="152518676.75781295"/>
    <n v="150483001.70898396"/>
    <n v="154176498.41308594"/>
    <n v="164860992.43164092"/>
    <n v="170854995.72753894"/>
    <n v="168186752.31933594"/>
    <n v="167022430.41992193"/>
    <n v="170003265.38085899"/>
    <n v="170376617.43164095"/>
    <n v="176197158.81347695"/>
    <n v="162724639.89257798"/>
    <n v="168742553.71093798"/>
    <n v="177933563.23242196"/>
    <n v="177552490.23437497"/>
    <n v="175228561.40136695"/>
    <n v="181555099.48730499"/>
    <n v="179453475.95214802"/>
    <n v="183222930.90820301"/>
    <n v="187151763.91601598"/>
    <n v="194139633.178711"/>
    <n v="205126403.80859402"/>
    <n v="226373046.875"/>
    <n v="219930511.47460902"/>
    <n v="222376800.53710899"/>
    <n v="220874588.01269498"/>
    <n v="227999999.99999994"/>
  </r>
  <r>
    <x v="155"/>
    <s v="MIC"/>
    <s v="PIB (US$ a precios constantes de 2015)"/>
    <s v="NY.GDP.MKTP.KD"/>
    <n v="1608797101796.7732"/>
    <n v="1627360405004.6477"/>
    <n v="1681086567250.9172"/>
    <n v="1764010565163.4802"/>
    <n v="1907376098301.7917"/>
    <n v="2024736441101.3364"/>
    <n v="2125913284346.8909"/>
    <n v="2195118703087.7397"/>
    <n v="2331300028514.6323"/>
    <n v="2523302133779.3018"/>
    <n v="2727797259676.6372"/>
    <n v="2897548097731.5425"/>
    <n v="3079905541471.3926"/>
    <n v="3296456427381.0596"/>
    <n v="3494867362422.5762"/>
    <n v="3645619431970.0757"/>
    <n v="3876445375690.4268"/>
    <n v="4055487323924.5166"/>
    <n v="4208800625083.7173"/>
    <n v="4405859801940.1348"/>
    <n v="4615768925454.3369"/>
    <n v="4702740693944.4648"/>
    <n v="4837741691708.1641"/>
    <n v="4916054048560.7949"/>
    <n v="5151178881512.0576"/>
    <n v="5384232027196.707"/>
    <n v="5583998036685.2246"/>
    <n v="5843569376414.0986"/>
    <n v="6083084116475.3271"/>
    <n v="6273791861740.6963"/>
    <n v="6478074434210.4326"/>
    <n v="6663052985990.8105"/>
    <n v="6951967020695.3838"/>
    <n v="7306799078723.833"/>
    <n v="7686400045709.4209"/>
    <n v="8037343724013.8926"/>
    <n v="8538085281988.0293"/>
    <n v="9018524227236.4941"/>
    <n v="9314729963943.2695"/>
    <n v="9655798327078.6641"/>
    <n v="10194455360948.475"/>
    <n v="10563197101158.709"/>
    <n v="11062688204025.844"/>
    <n v="11713692974841.377"/>
    <n v="12614582716580.633"/>
    <n v="13539295857914.832"/>
    <n v="14656726618152.248"/>
    <n v="15958531509283.855"/>
    <n v="16903219738376.693"/>
    <n v="17574591103230.643"/>
    <n v="19012417940303.465"/>
    <n v="20247207521109.23"/>
    <n v="21389258178974.484"/>
    <n v="22596307128747.758"/>
    <n v="23764754198727.781"/>
    <n v="24911694910932.094"/>
    <n v="26108760232490.633"/>
    <n v="27512321914494.516"/>
    <n v="28891830558719"/>
    <n v="30071534704931.336"/>
    <n v="29706850900038.824"/>
    <n v="31936711342457.117"/>
    <n v="33166463950936.352"/>
    <n v="34672077138190.699"/>
  </r>
  <r>
    <x v="156"/>
    <s v="MKD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93742777.2276201"/>
    <n v="6843662857.5973473"/>
    <n v="6394362794.2217064"/>
    <n v="5916750488.026598"/>
    <n v="5812724181.9160385"/>
    <n v="5747928135.6760082"/>
    <n v="5816047055.5334435"/>
    <n v="5899797047.66049"/>
    <n v="6099135593.6212435"/>
    <n v="6363778789.4848156"/>
    <n v="6653275727.541153"/>
    <n v="6449202687.0407915"/>
    <n v="6545532200.7983036"/>
    <n v="6691013307.9739285"/>
    <n v="7003757263.7721977"/>
    <n v="7334620965.1846924"/>
    <n v="7711402289.6694546"/>
    <n v="8210598903.4219704"/>
    <n v="8659882989.5573502"/>
    <n v="8628827362.559742"/>
    <n v="8918648175.6124592"/>
    <n v="9127334379.6943951"/>
    <n v="9085697011.4916286"/>
    <n v="9351477059.6939754"/>
    <n v="9690853712.4580345"/>
    <n v="10064519962.565548"/>
    <n v="10351178142.853577"/>
    <n v="10463154366.078489"/>
    <n v="10764555646.47258"/>
    <n v="11185494933.69437"/>
    <n v="10661068595.405514"/>
    <n v="11141955229.994049"/>
    <n v="11389496636.613573"/>
    <n v="11506514048.907011"/>
  </r>
  <r>
    <x v="157"/>
    <s v="MLI"/>
    <s v="PIB (US$ a precios constantes de 2015)"/>
    <s v="NY.GDP.MKTP.KD"/>
    <m/>
    <m/>
    <m/>
    <m/>
    <m/>
    <m/>
    <m/>
    <n v="2003673126.7371514"/>
    <n v="2077977545.2733395"/>
    <n v="2082777661.3407772"/>
    <n v="2210596786.3047199"/>
    <n v="2267386929.8417954"/>
    <n v="2399893394.575078"/>
    <n v="2364972166.5611467"/>
    <n v="2328815854.7646437"/>
    <n v="2599541842.2018056"/>
    <n v="2953688827.2310729"/>
    <n v="3141208110.078681"/>
    <n v="3095237272.8490767"/>
    <n v="3417008148.6365123"/>
    <n v="3269193847.815887"/>
    <n v="3318519585.064178"/>
    <n v="3073664839.359889"/>
    <n v="3129632396.2686625"/>
    <n v="3120650002.1434274"/>
    <n v="3753724875.8556194"/>
    <n v="3854798455.6761613"/>
    <n v="3849433952.8099308"/>
    <n v="4133896383.7080889"/>
    <n v="4306585279.6977854"/>
    <n v="4198817500.5315409"/>
    <n v="4691977172.8808479"/>
    <n v="4540958263.5635405"/>
    <n v="4685005096.5449238"/>
    <n v="4862095199.4808111"/>
    <n v="4906876185.2651176"/>
    <n v="5253094838.9434242"/>
    <n v="5506768067.285038"/>
    <n v="5923722243.040163"/>
    <n v="6261430310.3466873"/>
    <n v="6257621170.9822893"/>
    <n v="7219807986.601862"/>
    <n v="7444077477.8723364"/>
    <n v="8122906029.2439919"/>
    <n v="8249623254.496706"/>
    <n v="8788717883.9335842"/>
    <n v="9198464335.8261452"/>
    <n v="9519823432.3578281"/>
    <n v="9974218416.2802124"/>
    <n v="10453611496.978971"/>
    <n v="11009109646.242226"/>
    <n v="11362847067.211653"/>
    <n v="11267770190.672415"/>
    <n v="11526373211.266489"/>
    <n v="12342980316.178879"/>
    <n v="13104764378.325953"/>
    <n v="13871694399.123833"/>
    <n v="14607651053.628979"/>
    <n v="15301000921.468206"/>
    <n v="16028741130.48213"/>
    <n v="15830713976.524773"/>
    <n v="16313964499.508436"/>
    <n v="16880866888.027025"/>
    <n v="17764846569.980782"/>
  </r>
  <r>
    <x v="158"/>
    <s v="MLT"/>
    <s v="PIB (US$ a precios constantes de 2015)"/>
    <s v="NY.GDP.MKTP.KD"/>
    <m/>
    <m/>
    <m/>
    <m/>
    <m/>
    <m/>
    <m/>
    <m/>
    <m/>
    <m/>
    <n v="948894147.98246181"/>
    <n v="972179949.76123381"/>
    <n v="1028938994.5145668"/>
    <n v="1071600229.0035694"/>
    <n v="1179150356.8195145"/>
    <n v="1409793120.1292377"/>
    <n v="1649698878.0600395"/>
    <n v="1850700990.5735757"/>
    <n v="2057260655.7668087"/>
    <n v="2273083204.6297798"/>
    <n v="2433329006.23103"/>
    <n v="2513915073.4054098"/>
    <n v="2571344264.2594686"/>
    <n v="2555597606.1138649"/>
    <n v="2579680815.1816959"/>
    <n v="2646372778.7541513"/>
    <n v="2749189389.5013423"/>
    <n v="2862195216.665781"/>
    <n v="3103027085.4414105"/>
    <n v="3356826946.9741373"/>
    <n v="3568018054.0022392"/>
    <n v="3791250821.039927"/>
    <n v="3969095835.3304596"/>
    <n v="4146941071.5236745"/>
    <n v="4381289054.872097"/>
    <n v="4659172014.5213127"/>
    <n v="4835164585.2195072"/>
    <n v="5089348227.4413748"/>
    <n v="5350207922.8133726"/>
    <n v="5602736392.9275188"/>
    <n v="6705426034.8882952"/>
    <n v="6626657619.8664055"/>
    <n v="6796648861.2341242"/>
    <n v="7073548929.6617432"/>
    <n v="7083470893.27635"/>
    <n v="7323146769.709075"/>
    <n v="7506968208.5133305"/>
    <n v="7865403855.1288605"/>
    <n v="8166362456.4844522"/>
    <n v="8073766224.0511894"/>
    <n v="8521346758.8198671"/>
    <n v="8561145756.9388657"/>
    <n v="8913668601.6359348"/>
    <n v="9401545409.2183475"/>
    <n v="10119215994.281658"/>
    <n v="11091483659.615578"/>
    <n v="11466536686.604401"/>
    <n v="12712865430.649755"/>
    <n v="13655685833.278189"/>
    <n v="14628552562.955233"/>
    <n v="13435333893.822453"/>
    <n v="15116624479.493196"/>
    <n v="16337373402.69412"/>
    <n v="17254541747.156872"/>
  </r>
  <r>
    <x v="159"/>
    <s v="MMR"/>
    <s v="PIB (US$ a precios constantes de 2015)"/>
    <s v="NY.GDP.MKTP.KD"/>
    <n v="2819978877.2336082"/>
    <n v="2833276800.0935721"/>
    <n v="2949069211.3478956"/>
    <n v="3342749157.9172688"/>
    <n v="3145726892.7875466"/>
    <n v="3482088443.9805284"/>
    <n v="3313145218.3946905"/>
    <n v="3116832787.0470991"/>
    <n v="3492702255.7927713"/>
    <n v="3607672972.1672778"/>
    <n v="3787310936.3161478"/>
    <n v="3943725455.6431561"/>
    <n v="4039788351.9240489"/>
    <n v="4000678162.3206334"/>
    <n v="4214409419.8795571"/>
    <n v="4389421587.101078"/>
    <n v="4656315811.7706423"/>
    <n v="4933473074.3806171"/>
    <n v="5255027822.2547579"/>
    <n v="5528356400.9803753"/>
    <n v="5967227079.1162395"/>
    <n v="6346489388.2097664"/>
    <n v="6702138810.8867216"/>
    <n v="6996435937.6074991"/>
    <n v="7341551093.9356337"/>
    <n v="7550858733.1468878"/>
    <n v="7471019822.1904373"/>
    <n v="7171758277.4496117"/>
    <n v="6357588759.5784922"/>
    <n v="6592520573.1556797"/>
    <n v="6778227478.729495"/>
    <n v="6734127184.6480989"/>
    <n v="7384707336.700285"/>
    <n v="7830700106.7998047"/>
    <n v="8416276599.9531937"/>
    <n v="9001043827.2006569"/>
    <n v="9580955459.2585068"/>
    <n v="10122431105.691229"/>
    <n v="10716234490.64591"/>
    <n v="11889140284.791992"/>
    <n v="13523413252.0595"/>
    <n v="15057508855.131784"/>
    <n v="16868251605.336138"/>
    <n v="19203491833.040306"/>
    <n v="21808380518.714008"/>
    <n v="24767548771.828613"/>
    <n v="28006178558.384953"/>
    <n v="31364521323.472561"/>
    <n v="34581048770.241249"/>
    <n v="38229352561.060699"/>
    <n v="41912536386.464684"/>
    <n v="44256068472.785866"/>
    <n v="47501220126.71228"/>
    <n v="51503673421.484955"/>
    <n v="55711475876.245857"/>
    <n v="59607290407.619133"/>
    <n v="63101751663.241898"/>
    <n v="66973743448.908005"/>
    <n v="71172235145.753906"/>
    <n v="75854734833.602692"/>
    <n v="68991135073.506409"/>
    <n v="60700903302.88102"/>
    <n v="63151698289.33271"/>
    <n v="63784628823.779488"/>
  </r>
  <r>
    <x v="160"/>
    <s v="MNA"/>
    <s v="PIB (US$ a precios constantes de 2015)"/>
    <s v="NY.GDP.MKTP.KD"/>
    <n v="135923814402.31499"/>
    <n v="140492377628.58182"/>
    <n v="143731348927.76532"/>
    <n v="160479522216.59232"/>
    <n v="177495196516.4744"/>
    <n v="199697231765.8367"/>
    <n v="214404234811.63046"/>
    <n v="231316172555.43057"/>
    <n v="261771704016.66983"/>
    <n v="292608815225.78674"/>
    <n v="317109545997.24292"/>
    <n v="336808927877.36017"/>
    <n v="381438837467.33087"/>
    <n v="401578300729.90295"/>
    <n v="432955185035.79803"/>
    <n v="445966107402.19135"/>
    <n v="518433822518.09772"/>
    <n v="526047484343.68604"/>
    <n v="511200749001.5827"/>
    <n v="506124825709.81738"/>
    <n v="481474614642.82452"/>
    <n v="468504884416.19312"/>
    <n v="522800803023.29639"/>
    <n v="546109727888.72485"/>
    <n v="543138291015.96924"/>
    <n v="564130113360.74902"/>
    <n v="547515631801.33484"/>
    <n v="547999765127.8916"/>
    <n v="552187271188.52393"/>
    <n v="565670799089.98486"/>
    <n v="627559533813.18616"/>
    <n v="630830685056.27087"/>
    <n v="658949986188.48779"/>
    <n v="668831225667.29285"/>
    <n v="682471296034.9884"/>
    <n v="700028201061.51648"/>
    <n v="743294211952.65735"/>
    <n v="772588383753.1084"/>
    <n v="818614520634.56311"/>
    <n v="853951407650.31055"/>
    <n v="905470809654.51953"/>
    <n v="930584163914.67346"/>
    <n v="959827773253.47961"/>
    <n v="981737387572.60266"/>
    <n v="1057622855406.2957"/>
    <n v="1104916771760.9568"/>
    <n v="1163226783279.2366"/>
    <n v="1233197527306.584"/>
    <n v="1279026139377.6716"/>
    <n v="1311661093658.5386"/>
    <n v="1381952375042.3555"/>
    <n v="1368948139565.6663"/>
    <n v="1417641672982.8704"/>
    <n v="1424110103872.0576"/>
    <n v="1450108942301.7173"/>
    <n v="1460582775148.2905"/>
    <n v="1539473127853.9861"/>
    <n v="1587534807247.7783"/>
    <n v="1616392915971.9365"/>
    <n v="1634378096944.0732"/>
    <n v="1562419078513.7271"/>
    <n v="1659621195547.7429"/>
    <n v="1732831925443.6838"/>
    <n v="1780087887093.3799"/>
  </r>
  <r>
    <x v="161"/>
    <s v="MNE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36010099.904346"/>
    <n v="2870074754.755878"/>
    <n v="2600287781.6413851"/>
    <n v="2680896704.4137287"/>
    <n v="2710382244.1271133"/>
    <n v="2761986207.2866817"/>
    <n v="2830556912.7596488"/>
    <n v="2955838797.3047066"/>
    <n v="3079410727.3393054"/>
    <n v="3343205923.0928316"/>
    <n v="3570883265.4523692"/>
    <n v="3828799329.0695972"/>
    <n v="3606916694.2148175"/>
    <n v="3705541738.4987822"/>
    <n v="3825173338.5744977"/>
    <n v="3720983620.1919394"/>
    <n v="3853040581.4181275"/>
    <n v="3921767211.5968189"/>
    <n v="4054730077.577178"/>
    <n v="4174315433.8238201"/>
    <n v="4371195571.7591553"/>
    <n v="4593160022.6192198"/>
    <n v="4779777587.7177067"/>
    <n v="4048142110.5429168"/>
    <n v="4576160079.6080246"/>
    <n v="4869340027.2423382"/>
    <n v="5160619234.9277811"/>
  </r>
  <r>
    <x v="162"/>
    <s v="MNG"/>
    <s v="PIB (US$ a precios constantes de 2015)"/>
    <s v="NY.GDP.MKTP.KD"/>
    <m/>
    <m/>
    <m/>
    <m/>
    <m/>
    <m/>
    <m/>
    <m/>
    <m/>
    <m/>
    <m/>
    <m/>
    <m/>
    <m/>
    <m/>
    <m/>
    <m/>
    <m/>
    <m/>
    <m/>
    <m/>
    <n v="2484401291.1198092"/>
    <n v="2691653428.4692774"/>
    <n v="2848685511.0896392"/>
    <n v="3017709971.3509049"/>
    <n v="3190107887.2156491"/>
    <n v="3489180326.5918598"/>
    <n v="3609858808.6201577"/>
    <n v="3794249397.0541401"/>
    <n v="3952780563.8535075"/>
    <n v="3826905840.863905"/>
    <n v="3494212069.764986"/>
    <n v="3170771527.9081354"/>
    <n v="3070296387.6531544"/>
    <n v="3135828262.428216"/>
    <n v="3335782058.8671074"/>
    <n v="3410339918.2936425"/>
    <n v="3543231097.1428351"/>
    <n v="3661572769.3561482"/>
    <n v="3773996564.976645"/>
    <n v="3817248910.6629601"/>
    <n v="3929961221.7152085"/>
    <n v="4115965440.0572534"/>
    <n v="4404273778.3191738"/>
    <n v="4872245746.852375"/>
    <n v="5225662152.644289"/>
    <n v="5672782077.1490097"/>
    <n v="6254129712.4259863"/>
    <n v="6810770268.3190098"/>
    <n v="6724368909.1560698"/>
    <n v="7152385862.0914564"/>
    <n v="8389088993.666543"/>
    <n v="9422609644.6923733"/>
    <n v="10520241544.914864"/>
    <n v="11349786311.987452"/>
    <n v="11619892590.694118"/>
    <n v="11793003947.892611"/>
    <n v="12457761002.743181"/>
    <n v="13422599720.361551"/>
    <n v="14174566537.45549"/>
    <n v="13528524951.028664"/>
    <n v="13749955731.693554"/>
    <n v="14441951078.837976"/>
    <n v="15456208129.696028"/>
  </r>
  <r>
    <x v="163"/>
    <s v="MNP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07115151.5151517"/>
    <n v="1612630303.0303032"/>
    <n v="1562993939.3939395"/>
    <n v="1364448484.848485"/>
    <n v="1270690909.0909092"/>
    <n v="1185757575.757576"/>
    <n v="1054496969.6969699"/>
    <n v="869187878.78787887"/>
    <n v="881321212.12121212"/>
    <n v="816242424.24242425"/>
    <n v="822860606.060606"/>
    <n v="844921212.12121212"/>
    <n v="880218181.81818187"/>
    <n v="910000000"/>
    <n v="1175830303.030303"/>
    <n v="1448278787.8787878"/>
    <n v="1169212121.2121212"/>
    <n v="1036848484.8484849"/>
    <n v="729103030.30303037"/>
    <m/>
    <m/>
    <m/>
  </r>
  <r>
    <x v="164"/>
    <s v="MOZ"/>
    <s v="PIB (US$ a precios constantes de 2015)"/>
    <s v="NY.GDP.MKTP.KD"/>
    <m/>
    <m/>
    <m/>
    <m/>
    <m/>
    <m/>
    <m/>
    <m/>
    <m/>
    <m/>
    <m/>
    <m/>
    <m/>
    <m/>
    <m/>
    <m/>
    <m/>
    <m/>
    <m/>
    <m/>
    <n v="2851825334.4103546"/>
    <n v="2994416685.3860588"/>
    <n v="2787801950.7964745"/>
    <n v="2350116987.7306876"/>
    <n v="2197359386.3633471"/>
    <n v="2219332908.1776891"/>
    <n v="2168288339.4676924"/>
    <n v="2487026734.5421662"/>
    <n v="2690962806.8932319"/>
    <n v="2865875511.8832288"/>
    <n v="2894534061.6546946"/>
    <n v="3037102925.8760104"/>
    <n v="2806992350.5993724"/>
    <n v="3114089525.0061302"/>
    <n v="3314642610.8501272"/>
    <n v="3385008953.5243678"/>
    <n v="3747066497.8506389"/>
    <n v="4189780379.0858579"/>
    <n v="4624228447.7278128"/>
    <n v="5170672900.3853035"/>
    <n v="5210292403.5967598"/>
    <n v="5879902615.6595364"/>
    <n v="6448401314.4349957"/>
    <n v="6913827631.9305573"/>
    <n v="7481086789.735857"/>
    <n v="7953294766.9237738"/>
    <n v="8741520167.2926178"/>
    <n v="9410189984.446867"/>
    <n v="10057425620.582924"/>
    <n v="10653727556.93692"/>
    <n v="11365367724.13287"/>
    <n v="12176179697.5618"/>
    <n v="13149604768.381208"/>
    <n v="14013719723.485868"/>
    <n v="15093136077.353334"/>
    <n v="16208985769.614956"/>
    <n v="16970320249.582752"/>
    <n v="17418032489.647045"/>
    <n v="18025039081.792011"/>
    <n v="18442825951.571983"/>
    <n v="18217911538.892193"/>
    <n v="18651030678.438801"/>
    <n v="19464178351.474323"/>
    <n v="20437391974.129997"/>
  </r>
  <r>
    <x v="165"/>
    <s v="MRT"/>
    <s v="PIB (US$ a precios constantes de 2015)"/>
    <s v="NY.GDP.MKTP.KD"/>
    <m/>
    <n v="1064724230.3222309"/>
    <n v="1072460605.7891656"/>
    <n v="1051185480.0347151"/>
    <n v="1342268056.659143"/>
    <n v="1558887711.8662443"/>
    <n v="1562488149.5844438"/>
    <n v="1618224178.3792648"/>
    <n v="1783225478.2662129"/>
    <n v="1805489620.5842547"/>
    <n v="2021894363.433511"/>
    <n v="2059155580.445231"/>
    <n v="2044063867.1842799"/>
    <n v="1950348507.3145292"/>
    <n v="2187561810.5553198"/>
    <n v="2075244195.9397757"/>
    <n v="2252596742.4830108"/>
    <n v="2210279602.3898778"/>
    <n v="2199124015.488287"/>
    <n v="2304462931.9103017"/>
    <n v="2382151221.7644882"/>
    <n v="2464342309.5078406"/>
    <n v="2406678569.3486567"/>
    <n v="2496576245.4072428"/>
    <n v="2416015114.0147281"/>
    <n v="2488368980.4302759"/>
    <n v="2630543916.7675066"/>
    <n v="2680534356.4684701"/>
    <n v="2726650215.2890534"/>
    <n v="2856918258.4294028"/>
    <n v="2806313535.8059015"/>
    <n v="2856492871.2266631"/>
    <n v="2910027139.1258535"/>
    <n v="3080951582.4631853"/>
    <n v="2986651904.5541873"/>
    <n v="3279935160.7882142"/>
    <n v="3470788901.5060105"/>
    <n v="3330406023.4325318"/>
    <n v="3422918201.2875142"/>
    <n v="3548648090.6788969"/>
    <n v="3409611140.1231928"/>
    <n v="3382351509.9154429"/>
    <n v="3429078153.5630713"/>
    <n v="3666653931.158536"/>
    <n v="3840187785.650177"/>
    <n v="4169149302.2725439"/>
    <n v="4933487730.44979"/>
    <n v="4836326500.6385422"/>
    <n v="4820314429.7791929"/>
    <n v="4825032354.5591707"/>
    <n v="4951459276.6896019"/>
    <n v="5158072941.6540461"/>
    <n v="5388639482.1005363"/>
    <n v="5612311839.1121664"/>
    <n v="5852228252.8907633"/>
    <n v="6166863896.6867657"/>
    <n v="6244622451.9681749"/>
    <n v="6636194355.3026094"/>
    <n v="6952885075.2136793"/>
    <n v="7171275533.9990273"/>
    <n v="7145411799.6213894"/>
    <n v="7198481880.5697718"/>
    <n v="7658250580.8268881"/>
    <n v="7917371715.8914499"/>
  </r>
  <r>
    <x v="166"/>
    <s v="MUS"/>
    <s v="PIB (US$ a precios constantes de 2015)"/>
    <s v="NY.GDP.MKTP.KD"/>
    <n v="956645874.99284625"/>
    <n v="1175230799.7545521"/>
    <n v="1184708882.2378068"/>
    <n v="1349318561.3397148"/>
    <n v="1256357353.5987916"/>
    <n v="1296522845.6165216"/>
    <n v="1250260258.4725058"/>
    <n v="1305073285.5921996"/>
    <n v="1215158229.1198165"/>
    <n v="1275101630.8231308"/>
    <n v="1269971348.4046874"/>
    <n v="1324244379.7517183"/>
    <n v="1434770611.2759023"/>
    <n v="1606680325.3956881"/>
    <n v="1748258203.2342741"/>
    <n v="1764099000.8842342"/>
    <n v="2183115628.4640908"/>
    <n v="2326057723.3163276"/>
    <n v="2415164484.1435242"/>
    <n v="2500094365.0665517"/>
    <n v="2248553408.3424382"/>
    <n v="2380821254.9787941"/>
    <n v="2511696807.0668211"/>
    <n v="2521336581.621974"/>
    <n v="2639798699.7050214"/>
    <n v="2823382852.5131049"/>
    <n v="3098437750.789268"/>
    <n v="3373921085.2133908"/>
    <n v="3603055765.1184101"/>
    <n v="3763937559.427649"/>
    <n v="4034441844.0528388"/>
    <n v="4213387344.0058446"/>
    <n v="4487792561.8482618"/>
    <n v="4715865005.1645241"/>
    <n v="4910919918.9315109"/>
    <n v="5121487228.2902775"/>
    <n v="5407667941.331089"/>
    <n v="5715227834.3815699"/>
    <n v="6062253049.4965992"/>
    <n v="6220534375.1489286"/>
    <n v="6730791855.5957518"/>
    <n v="6956107854.2325583"/>
    <n v="7068443337.8845921"/>
    <n v="7487280094.8255339"/>
    <n v="7811480809.5042553"/>
    <n v="7950333241.4191513"/>
    <n v="8337160251.7455978"/>
    <n v="8814630766.6328812"/>
    <n v="9289471624.2533932"/>
    <n v="9597424761.2961903"/>
    <n v="10017523547.315157"/>
    <n v="10425991883.237797"/>
    <n v="10790496900.170708"/>
    <n v="11153101416.196444"/>
    <n v="11579927241.398687"/>
    <n v="12007291045.648907"/>
    <n v="12471068851.581165"/>
    <n v="12962177523.431889"/>
    <n v="13481538349.276018"/>
    <n v="13871328044.456886"/>
    <n v="11853530018.694733"/>
    <n v="12257000314.844355"/>
    <n v="13345407870.505161"/>
    <n v="14273219058.562893"/>
  </r>
  <r>
    <x v="167"/>
    <s v="MWI"/>
    <s v="PIB (US$ a precios constantes de 2015)"/>
    <s v="NY.GDP.MKTP.KD"/>
    <n v="944667422.05200982"/>
    <n v="1016836214.1718402"/>
    <n v="1023632388.9280604"/>
    <n v="1009392858.6624316"/>
    <n v="1036253845.0108467"/>
    <n v="1177355281.6354578"/>
    <n v="1333343510.541903"/>
    <n v="1430431584.1795073"/>
    <n v="1402923252.3750455"/>
    <n v="1485448247.0978522"/>
    <n v="1492567970.5032408"/>
    <n v="1734641056.5858207"/>
    <n v="1842732594.9026496"/>
    <n v="1885127635.5641282"/>
    <n v="2020403708.8485129"/>
    <n v="2143382122.7819474"/>
    <n v="2250502600.7744398"/>
    <n v="2361183024.6300664"/>
    <n v="2591281916.706109"/>
    <n v="2705198653.4951639"/>
    <n v="2716201951.9702907"/>
    <n v="2572511628.9138722"/>
    <n v="2636913267.7521386"/>
    <n v="2734972402.7404137"/>
    <n v="2881575238.5549288"/>
    <n v="3013291524.4041986"/>
    <n v="3006818901.8526397"/>
    <n v="3055686904.1175132"/>
    <n v="3152774981.3354592"/>
    <n v="3195170015.7597604"/>
    <n v="3377048507.1153221"/>
    <n v="3671872668.4480329"/>
    <n v="3402615041.1933966"/>
    <n v="3732391066.975564"/>
    <n v="3350187439.5175271"/>
    <n v="3910634175.5707107"/>
    <n v="4196762833.824162"/>
    <n v="4355921668.8099461"/>
    <n v="4525595860.3176746"/>
    <n v="4663277073.7166061"/>
    <n v="4736773940.2241507"/>
    <n v="4501121160.0779753"/>
    <n v="4577640221.1266546"/>
    <n v="4838823865.476902"/>
    <n v="5101112194.4993954"/>
    <n v="5267853576.1841116"/>
    <n v="5515442681.9001074"/>
    <n v="6044925172.5381069"/>
    <n v="6506741521.257122"/>
    <n v="7048630102.94242"/>
    <n v="7533157578.0246649"/>
    <n v="7904743381.81252"/>
    <n v="8054933506.1239891"/>
    <n v="8490733601.0321569"/>
    <n v="8968360291.0532932"/>
    <n v="9219474379.3153419"/>
    <n v="9449961238.7079391"/>
    <n v="9827959688.2923717"/>
    <n v="10259573043.668423"/>
    <n v="10818533187.404589"/>
    <n v="10905081272.331982"/>
    <n v="11205123962.958893"/>
    <n v="11308597648.749756"/>
    <n v="11482709535.228191"/>
  </r>
  <r>
    <x v="168"/>
    <s v="MYS"/>
    <s v="PIB (US$ a precios constantes de 2015)"/>
    <s v="NY.GDP.MKTP.KD"/>
    <n v="10075053649.807173"/>
    <n v="10840555621.644796"/>
    <n v="11536630907.895397"/>
    <n v="12383281583.840616"/>
    <n v="13046897050.923655"/>
    <n v="14049533276.9683"/>
    <n v="15147744693.757061"/>
    <n v="15732015396.771841"/>
    <n v="16987114742.20676"/>
    <n v="17817535562.978729"/>
    <n v="18884189212.427429"/>
    <n v="20779153503.244419"/>
    <n v="22729992899.489811"/>
    <n v="25389647919.059681"/>
    <n v="27501726905.738445"/>
    <n v="27722034464.782192"/>
    <n v="30927669086.16428"/>
    <n v="33325509326.092953"/>
    <n v="35542952796.752495"/>
    <n v="38865898972.063484"/>
    <n v="41758231849.799316"/>
    <n v="44657131817.383446"/>
    <n v="47311173244.665115"/>
    <n v="50269176995.278999"/>
    <n v="54170965009.804184"/>
    <n v="53615577053.760727"/>
    <n v="54280729183.043221"/>
    <n v="57098947792.520027"/>
    <n v="62773281162.383102"/>
    <n v="68460289886.50354"/>
    <n v="74627553679.508987"/>
    <n v="81751102498.173157"/>
    <n v="89014784403.714432"/>
    <n v="97822746879.140076"/>
    <n v="106834219205.04814"/>
    <n v="117335045630.59123"/>
    <n v="129071719045.01717"/>
    <n v="138523307832.50473"/>
    <n v="128328802476.71619"/>
    <n v="136205126470.55666"/>
    <n v="148271359064.94806"/>
    <n v="149038923296.25912"/>
    <n v="157073594223.93179"/>
    <n v="166165798103.90192"/>
    <n v="177437551536.37424"/>
    <n v="186898768708.90091"/>
    <n v="197336779111.68222"/>
    <n v="209766600383.97195"/>
    <n v="219902039818.77838"/>
    <n v="216573759299.07971"/>
    <n v="232654030399.22736"/>
    <n v="244970531973.67609"/>
    <n v="258378881826.47321"/>
    <n v="270506469604.10135"/>
    <n v="286755041078.03009"/>
    <n v="301355266964.94733"/>
    <n v="314764917575.08777"/>
    <n v="333061328477.26813"/>
    <n v="349191778300.005"/>
    <n v="364602265936.14014"/>
    <n v="344706479641.24377"/>
    <n v="356073661872.22406"/>
    <n v="386875259314.18665"/>
    <n v="401113360563.34998"/>
  </r>
  <r>
    <x v="169"/>
    <s v="NAC"/>
    <s v="PIB (US$ a precios constantes de 2015)"/>
    <s v="NY.GDP.MKTP.KD"/>
    <n v="3709291339395.2549"/>
    <n v="3797031141980.103"/>
    <n v="4032407343517.4424"/>
    <n v="4212520854023.0093"/>
    <n v="4459706808968.1543"/>
    <n v="4744809287984.6826"/>
    <n v="5054342068337.2256"/>
    <n v="5183175369928.5703"/>
    <n v="5432730285504.2539"/>
    <n v="5609466833811.2217"/>
    <n v="5633795148557.9736"/>
    <n v="5822622966978.7871"/>
    <n v="6129774411179.2471"/>
    <n v="6481135282573.1045"/>
    <n v="6467016893579.7939"/>
    <n v="6463542412523.4004"/>
    <n v="6814741556962.626"/>
    <n v="7123436129079.7549"/>
    <n v="7506484809174.7627"/>
    <n v="7747670295738.6348"/>
    <n v="7744253088958.9883"/>
    <n v="7946713305978.0986"/>
    <n v="7793724581287.3486"/>
    <n v="8137150263972.8857"/>
    <n v="8716382142805.9902"/>
    <n v="9083723343722.8418"/>
    <n v="9388057151840.8809"/>
    <n v="9717257463266.3887"/>
    <n v="10125057004764.141"/>
    <n v="10485281074256.977"/>
    <n v="10668190145468.719"/>
    <n v="10639054442892.951"/>
    <n v="10991016160023.732"/>
    <n v="11292663316002.543"/>
    <n v="11751612160254.734"/>
    <n v="12067144337586.402"/>
    <n v="12502444621385.494"/>
    <n v="13056831102712.631"/>
    <n v="13636174613542.965"/>
    <n v="14292758795832.438"/>
    <n v="14887619188715.746"/>
    <n v="15040994797665.088"/>
    <n v="15311920325585.246"/>
    <n v="15727951120452.912"/>
    <n v="16323627679673.168"/>
    <n v="16888634667144.01"/>
    <n v="17357178531022.82"/>
    <n v="17705725090421.309"/>
    <n v="17737883003412.707"/>
    <n v="17275880746723.264"/>
    <n v="17746468684622.598"/>
    <n v="18045711648016.141"/>
    <n v="18450545281042.316"/>
    <n v="18844187090398.137"/>
    <n v="19324609678599.566"/>
    <n v="19858182357217.141"/>
    <n v="20207172753017.074"/>
    <n v="20712926958302.953"/>
    <n v="21323521911580.777"/>
    <n v="21840133994015.434"/>
    <n v="21308467546454.648"/>
    <n v="22536109207181.742"/>
    <n v="23004561377446.625"/>
    <n v="23563484041823.488"/>
  </r>
  <r>
    <x v="170"/>
    <s v="NAM"/>
    <s v="PIB (US$ a precios constantes de 2015)"/>
    <s v="NY.GDP.MKTP.KD"/>
    <m/>
    <m/>
    <m/>
    <m/>
    <m/>
    <m/>
    <m/>
    <m/>
    <m/>
    <m/>
    <m/>
    <m/>
    <m/>
    <m/>
    <m/>
    <m/>
    <m/>
    <m/>
    <m/>
    <m/>
    <n v="3477739161.3094883"/>
    <n v="3511523641.0085754"/>
    <n v="3497544590.4164023"/>
    <n v="3433768600.4699645"/>
    <n v="3425634293.6657858"/>
    <n v="3441535103.5914645"/>
    <n v="3605602362.6410198"/>
    <n v="3733737146.7580709"/>
    <n v="3764097990.8946538"/>
    <n v="3834060337.8081245"/>
    <n v="3912561187.296123"/>
    <n v="4232045772.7789378"/>
    <n v="4536302039.105916"/>
    <n v="4464649372.0200548"/>
    <n v="4541882425.7387676"/>
    <n v="4718971067.424159"/>
    <n v="4869568737.8614368"/>
    <n v="5075069422.9638567"/>
    <n v="5242119678.3280468"/>
    <n v="5418741285.6340628"/>
    <n v="5607973667.3303061"/>
    <n v="5674032719.9425755"/>
    <n v="5945742924.345686"/>
    <n v="6197830193.6962976"/>
    <n v="6958275950.6960754"/>
    <n v="7134269025.9708624"/>
    <n v="7638888381.8682461"/>
    <n v="8049405616.2071209"/>
    <n v="8262699735.1969423"/>
    <n v="8287154923.1243706"/>
    <n v="8787636883.689373"/>
    <n v="9235045191.8341427"/>
    <n v="9702493818.4311066"/>
    <n v="10247261642.730759"/>
    <n v="10871578021.66687"/>
    <n v="11335161083.506102"/>
    <n v="11338991738.874273"/>
    <n v="11222511852.461214"/>
    <n v="11341464134.093197"/>
    <n v="11246291706.331694"/>
    <n v="10335184546.16431"/>
    <n v="10707646943.936388"/>
    <n v="11280470086.908037"/>
    <n v="11749736033.67952"/>
  </r>
  <r>
    <x v="171"/>
    <s v="NCL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38203074.3956985"/>
    <m/>
    <m/>
    <m/>
    <m/>
    <m/>
    <m/>
    <m/>
    <m/>
  </r>
  <r>
    <x v="172"/>
    <s v="NER"/>
    <s v="PIB (US$ a precios constantes de 2015)"/>
    <s v="NY.GDP.MKTP.KD"/>
    <n v="2602180352.6627789"/>
    <n v="2720485699.0160575"/>
    <n v="3000116629.7964563"/>
    <n v="3282974505.5213714"/>
    <n v="3287276511.7377639"/>
    <n v="3514748216.6362691"/>
    <n v="3501304403.1479917"/>
    <n v="3505606409.3643847"/>
    <n v="3519050222.8526621"/>
    <n v="3325997034.4835777"/>
    <n v="3427632150.8103862"/>
    <n v="3622298371.0312176"/>
    <n v="3435160573.564971"/>
    <n v="2849548703.9568024"/>
    <n v="3099603386.061553"/>
    <n v="3013025467.7403221"/>
    <n v="3033459908.9749408"/>
    <n v="3268995364.3305621"/>
    <n v="3709414436.857101"/>
    <n v="3974526140.8883696"/>
    <n v="3876950088.1898994"/>
    <n v="3870062063.2848172"/>
    <n v="3954215023.3299351"/>
    <n v="3801438868.1801767"/>
    <n v="3162043118.6055465"/>
    <n v="3406093636.5301766"/>
    <n v="3622453380.9884133"/>
    <n v="3625651332.0884938"/>
    <n v="3874775278.5500541"/>
    <n v="3911858659.2987208"/>
    <n v="3860672838.2089629"/>
    <n v="3843705601.8806992"/>
    <n v="3920608632.4766874"/>
    <n v="3933219484.7741332"/>
    <n v="4006172005.5816627"/>
    <n v="4104613431.718667"/>
    <n v="4108739820.3003759"/>
    <n v="4171499823.0633793"/>
    <n v="4587507438.3254175"/>
    <n v="4577434991.4842186"/>
    <n v="4522117708.5031233"/>
    <n v="4850791323.990346"/>
    <n v="5089376067.9613628"/>
    <n v="5199846593.3602018"/>
    <n v="5218763717.357975"/>
    <n v="5601396628.3190842"/>
    <n v="5933618261.5588245"/>
    <n v="6120095511.7095823"/>
    <n v="6593265446.855216"/>
    <n v="6722664934.312583"/>
    <n v="7299346341.9257317"/>
    <n v="7471447186.5879765"/>
    <n v="8259606009.3520002"/>
    <n v="8698614858.5984173"/>
    <n v="9276388744.5948353"/>
    <n v="9683867926.4428234"/>
    <n v="10239808436.943346"/>
    <n v="10752347793.023544"/>
    <n v="11527744540.16301"/>
    <n v="12212475570.63731"/>
    <n v="12646096746.888123"/>
    <n v="12821067681.411142"/>
    <n v="14346774735.502621"/>
    <n v="14705444103.890184"/>
  </r>
  <r>
    <x v="173"/>
    <s v="NGA"/>
    <s v="PIB (US$ a precios constantes de 2015)"/>
    <s v="NY.GDP.MKTP.KD"/>
    <n v="65552393151.302971"/>
    <n v="65678119684.67395"/>
    <n v="68372888067.720406"/>
    <n v="74238337576.43277"/>
    <n v="77913498064.011734"/>
    <n v="81719554395.098267"/>
    <n v="78246053144.306396"/>
    <n v="65927285449.672226"/>
    <n v="65104275426.97551"/>
    <n v="80857806917.094162"/>
    <n v="101078114311.65059"/>
    <n v="115469142733.23524"/>
    <n v="119353827264.3914"/>
    <n v="125790293297.19829"/>
    <n v="139829338541.91107"/>
    <n v="132519413714.66504"/>
    <n v="144502285208.37851"/>
    <n v="153207273164.61206"/>
    <n v="144376163268.42441"/>
    <n v="154135170311.43326"/>
    <n v="160616293802.83139"/>
    <n v="139530778712.87677"/>
    <n v="130037957319.95674"/>
    <n v="115832500285.92778"/>
    <n v="114540246019.7115"/>
    <n v="121313042218.59358"/>
    <n v="121386976784.82231"/>
    <n v="125271512342.57047"/>
    <n v="134458956986.46053"/>
    <n v="137039737057.51471"/>
    <n v="153178750575.31534"/>
    <n v="153727670613.1925"/>
    <n v="160847095650.79904"/>
    <n v="157573666209.78979"/>
    <n v="154713823159.43161"/>
    <n v="154601400725.05353"/>
    <n v="161088358074.45813"/>
    <n v="165819683303.9408"/>
    <n v="170099910681.03003"/>
    <n v="171093510004.14899"/>
    <n v="179675448843.37335"/>
    <n v="190308075297.96545"/>
    <n v="219480696548.00629"/>
    <n v="235606371240.50146"/>
    <n v="257401275803.76187"/>
    <n v="273974099482.93423"/>
    <n v="290575362867.5025"/>
    <n v="309727563830.13989"/>
    <n v="330679000570.77808"/>
    <n v="357255424171.35602"/>
    <n v="385856064172.78448"/>
    <n v="406337011591.35022"/>
    <n v="423525315758.05353"/>
    <n v="451780110046.797"/>
    <n v="480286163931.14984"/>
    <n v="493026682800.62952"/>
    <n v="485055087455.81952"/>
    <n v="488964081500.90051"/>
    <n v="498365674277.73376"/>
    <n v="509371727735.74335"/>
    <n v="500232309808.21552"/>
    <n v="518476715283.89587"/>
    <n v="535335926240.99609"/>
    <n v="550647684655.99756"/>
  </r>
  <r>
    <x v="174"/>
    <s v="NIC"/>
    <s v="PIB (US$ a precios constantes de 2015)"/>
    <s v="NY.GDP.MKTP.KD"/>
    <n v="2980610211.8591137"/>
    <n v="3204088717.2535353"/>
    <n v="3553039557.7349906"/>
    <n v="3939094333.4751153"/>
    <n v="4399908458.0547018"/>
    <n v="4819006594.8966808"/>
    <n v="4978088575.6512127"/>
    <n v="5325037147.1404247"/>
    <n v="5396550268.81565"/>
    <n v="5733171095.8486862"/>
    <n v="5810788290.6017771"/>
    <n v="6002820694.3485899"/>
    <n v="6136126707.6623354"/>
    <n v="6529882815.9345703"/>
    <n v="7456631543.3972359"/>
    <n v="7445204487.134407"/>
    <n v="7833059027.210247"/>
    <n v="8488567046.8291941"/>
    <n v="7823165221.7001028"/>
    <n v="5751685819.8887997"/>
    <n v="6016938171.4619799"/>
    <n v="6339644026.1131363"/>
    <n v="6287889586.5000534"/>
    <n v="6577963239.9977093"/>
    <n v="6474946158.083745"/>
    <n v="6210648472.0268774"/>
    <n v="6147466976.1509638"/>
    <n v="6104044162.3371773"/>
    <n v="5344101527.083868"/>
    <n v="5251209481.6204643"/>
    <n v="5248452611.2793713"/>
    <n v="5238518261.7687035"/>
    <n v="5258757097.8327532"/>
    <n v="5238093545.5889149"/>
    <n v="5412926761.6742573"/>
    <n v="5732934008.4993267"/>
    <n v="6096646726.9297771"/>
    <n v="6338479420.8765335"/>
    <n v="6573743586.638567"/>
    <n v="7036270243.7408152"/>
    <n v="7324869218.0734129"/>
    <n v="7541747131.5097046"/>
    <n v="7598607295.0697727"/>
    <n v="7790147888.7575588"/>
    <n v="8203973832.2252388"/>
    <n v="8555300671.2423315"/>
    <n v="8910619383.4643135"/>
    <n v="9362906161.4398479"/>
    <n v="9684500655.925436"/>
    <n v="9365755448.1711254"/>
    <n v="9778752061.7469311"/>
    <n v="10396522413.825916"/>
    <n v="11071878350.368631"/>
    <n v="11617291815.719105"/>
    <n v="12173277634.467215"/>
    <n v="12756706583.311321"/>
    <n v="13338785870.019558"/>
    <n v="13956556222.098545"/>
    <n v="13487098742.505569"/>
    <n v="13096446535.401367"/>
    <n v="12866554084.925076"/>
    <n v="14193796833.092342"/>
    <n v="14726388508.152061"/>
    <n v="15399345045.342119"/>
  </r>
  <r>
    <x v="175"/>
    <s v="NLD"/>
    <s v="PIB (US$ a precios constantes de 2015)"/>
    <s v="NY.GDP.MKTP.KD"/>
    <n v="163993138241.04224"/>
    <n v="164477814504.59717"/>
    <n v="175733865781.68732"/>
    <n v="182103553317.14389"/>
    <n v="197172447408.35486"/>
    <n v="214214249225.00092"/>
    <n v="220086085295.74109"/>
    <n v="231706663055.40024"/>
    <n v="246573273136.41629"/>
    <n v="262426576726.42767"/>
    <n v="278540044641.61633"/>
    <n v="290564563677.7757"/>
    <n v="300832750436.38507"/>
    <n v="317210756181.54669"/>
    <n v="328118739110.48346"/>
    <n v="328125396187.82721"/>
    <n v="342747679887.52881"/>
    <n v="351386430467.40186"/>
    <n v="360860676429.78937"/>
    <n v="368129009943.78119"/>
    <n v="373068985166.76794"/>
    <n v="370145572922.26282"/>
    <n v="365552967323.61163"/>
    <n v="373119759805.18152"/>
    <n v="384543489815.70923"/>
    <n v="394465403148.71899"/>
    <n v="405459058225.01825"/>
    <n v="413289480955.01666"/>
    <n v="427511676525.38458"/>
    <n v="446408196647.33691"/>
    <n v="465082446942.39746"/>
    <n v="476426432932.93732"/>
    <n v="484554605651.77679"/>
    <n v="490648132551.04315"/>
    <n v="505176677944.66736"/>
    <n v="520918165020.58063"/>
    <n v="539143748273.90448"/>
    <n v="562483569063.84229"/>
    <n v="588717336764.44885"/>
    <n v="618353650975.2738"/>
    <n v="644297559542.71753"/>
    <n v="659290074379.86584"/>
    <n v="660722537625.61658"/>
    <n v="661750925152.70483"/>
    <n v="674886321780.34473"/>
    <n v="688727404110.83459"/>
    <n v="712564183491.07373"/>
    <n v="739448107993.38037"/>
    <n v="755496534043.8949"/>
    <n v="727793352989.74097"/>
    <n v="737565720627.78784"/>
    <n v="749006761258.43518"/>
    <n v="741289340197.32117"/>
    <n v="740324364660.47083"/>
    <n v="750862107575.85742"/>
    <n v="765572770634.37463"/>
    <n v="782351934079.29651"/>
    <n v="805125436190.08875"/>
    <n v="824133764145.05518"/>
    <n v="840250428566.88171"/>
    <n v="807597591789.77039"/>
    <n v="857602880650.92822"/>
    <n v="894727808846.02393"/>
    <n v="895765770359.84534"/>
  </r>
  <r>
    <x v="176"/>
    <s v="NOR"/>
    <s v="PIB (US$ a precios constantes de 2015)"/>
    <s v="NY.GDP.MKTP.KD"/>
    <n v="68793506120.577728"/>
    <n v="73109153568.894226"/>
    <n v="75166405041.504654"/>
    <n v="78011485856.764343"/>
    <n v="81919589027.667679"/>
    <n v="86249538034.690277"/>
    <n v="89515388224.661621"/>
    <n v="95115541634.842331"/>
    <n v="97265034483.755997"/>
    <n v="101646446369.39622"/>
    <n v="103621742275.49861"/>
    <n v="109500837036.27159"/>
    <n v="115337893975.40561"/>
    <n v="120566084530.32967"/>
    <n v="125294905445.90266"/>
    <n v="131499638317.66043"/>
    <n v="139160194275.08524"/>
    <n v="144950253177.63766"/>
    <n v="150558892218.66278"/>
    <n v="157142089490.54456"/>
    <n v="164314436292.23929"/>
    <n v="166940746098.99759"/>
    <n v="167333595122.45529"/>
    <n v="173981771210.08575"/>
    <n v="184511811511.83218"/>
    <n v="194758499534.97983"/>
    <n v="202630856670.45572"/>
    <n v="206183982639.24768"/>
    <n v="205657951844.57993"/>
    <n v="207793200372.01611"/>
    <n v="211808370362.7157"/>
    <n v="218341469463.67673"/>
    <n v="226145995659.81189"/>
    <n v="232580262478.04068"/>
    <n v="244337831972.71875"/>
    <n v="254491515965.69177"/>
    <n v="267287258447.86597"/>
    <n v="281412338534.66974"/>
    <n v="288922351968.58521"/>
    <n v="294908959388.24005"/>
    <n v="304696827529.19281"/>
    <n v="310995308463.36664"/>
    <n v="315279446109.3313"/>
    <n v="318258551203.88544"/>
    <n v="331035320863.90405"/>
    <n v="339924026041.12836"/>
    <n v="348291164617.1333"/>
    <n v="358440508422.03149"/>
    <n v="360167903275.80853"/>
    <n v="353179332437.73889"/>
    <n v="355959036891.59857"/>
    <n v="359894719437.84222"/>
    <n v="369676511315.49023"/>
    <n v="373433130102.30432"/>
    <n v="381081533533.11963"/>
    <n v="388159512245.53046"/>
    <n v="392680500155.00653"/>
    <n v="402355151389.89337"/>
    <n v="405690275911.95599"/>
    <n v="410249333471.11694"/>
    <n v="405005642244.49713"/>
    <n v="420836044228.58313"/>
    <n v="433484840343.08148"/>
    <n v="435713464916.81299"/>
  </r>
  <r>
    <x v="177"/>
    <s v="NPL"/>
    <s v="PIB (US$ a precios constantes de 2015)"/>
    <s v="NY.GDP.MKTP.KD"/>
    <n v="3312007761.7517686"/>
    <n v="3375209678.8540564"/>
    <n v="3439686985.4299655"/>
    <n v="3504872894.0361757"/>
    <n v="3768875641.6180868"/>
    <n v="3723528943.7824655"/>
    <n v="3985689329.1135941"/>
    <n v="3923054320.965765"/>
    <n v="3949553904.1501575"/>
    <n v="4125839146.342751"/>
    <n v="4232120437.9200349"/>
    <n v="4181530376.8696413"/>
    <n v="4311902146.182394"/>
    <n v="4291354368.6210351"/>
    <n v="4563151175.7478323"/>
    <n v="4629612136.0502071"/>
    <n v="4833247300.7785292"/>
    <n v="4979065088.2402306"/>
    <n v="5198429819.6320782"/>
    <n v="5321574269.3351498"/>
    <n v="5198145984.1110687"/>
    <n v="5631773977.6211767"/>
    <n v="5844619815.8885584"/>
    <n v="5670601763.1463633"/>
    <n v="6219580092.5196733"/>
    <n v="6601767395.3587103"/>
    <n v="6903181024.463316"/>
    <n v="7020232622.8308105"/>
    <n v="7560566498.88241"/>
    <n v="7887912410.0139904"/>
    <n v="8253520017.2312431"/>
    <n v="8779116585.006958"/>
    <n v="9139622809.3956318"/>
    <n v="9491484580.5264797"/>
    <n v="10271305209.264977"/>
    <n v="10627560489.2414"/>
    <n v="11193827112.987457"/>
    <n v="11758960072.89875"/>
    <n v="12113656106.953451"/>
    <n v="12648180059.610119"/>
    <n v="13432367221.019453"/>
    <n v="14077106359.820175"/>
    <n v="14094019042.682535"/>
    <n v="14650033415.889996"/>
    <n v="15336036356.97261"/>
    <n v="15869604827.464027"/>
    <n v="16403555897.105787"/>
    <n v="16963173094.566692"/>
    <n v="17998713599.317085"/>
    <n v="18814609456.198162"/>
    <n v="19720799061.812126"/>
    <n v="20395607080.047813"/>
    <n v="21348110877.043201"/>
    <n v="22100664484.636116"/>
    <n v="23429242138.209484"/>
    <n v="24360801286.763809"/>
    <n v="24466311259.288055"/>
    <n v="26662720369.249172"/>
    <n v="28695053195.34565"/>
    <n v="30605298792.544785"/>
    <n v="29880069318.726139"/>
    <n v="31325711777.167381"/>
    <n v="33089761145.096878"/>
    <n v="33735853500.290012"/>
  </r>
  <r>
    <x v="178"/>
    <s v="NRU"/>
    <s v="PIB (US$ a precios constantes de 2015)"/>
    <s v="NY.GDP.MKTP.KD"/>
    <m/>
    <m/>
    <m/>
    <m/>
    <m/>
    <m/>
    <m/>
    <m/>
    <m/>
    <m/>
    <n v="190446130.66166109"/>
    <n v="195965997.22188008"/>
    <n v="201645850.93116102"/>
    <n v="207490329.54998618"/>
    <n v="213504202.87472427"/>
    <n v="219692381.90678629"/>
    <n v="213504202.87472427"/>
    <n v="207490329.5499869"/>
    <n v="201645850.93116102"/>
    <n v="195965997.22188005"/>
    <n v="190446130.66166106"/>
    <n v="185081744.60899252"/>
    <n v="179868459.87366819"/>
    <n v="174802020.13220847"/>
    <n v="169878289.17711312"/>
    <n v="165093247.24919924"/>
    <n v="160442988.28684878"/>
    <n v="155923714.42452067"/>
    <n v="151531737.8265757"/>
    <n v="147263471.51812112"/>
    <n v="143115432.13575846"/>
    <n v="115932437.1221351"/>
    <n v="97081461.566278458"/>
    <n v="81434466.635235921"/>
    <n v="78286103.124785289"/>
    <n v="72083146.69897151"/>
    <n v="63534452.559401274"/>
    <n v="57845796.637533478"/>
    <n v="51026913.984302193"/>
    <n v="47675369.161983147"/>
    <n v="44406653.863073379"/>
    <n v="41404311.578480676"/>
    <n v="37275740.261791386"/>
    <n v="37381854.630054012"/>
    <n v="35768888.178431392"/>
    <n v="32963485.18404457"/>
    <n v="30158082.189657833"/>
    <n v="28755380.692464389"/>
    <n v="50497253.898961931"/>
    <n v="47691850.904575109"/>
    <n v="47691850.904575109"/>
    <n v="54705358.39054203"/>
    <n v="68031022.613879263"/>
    <n v="70836425.608265996"/>
    <n v="82058037.585813403"/>
    <n v="84863440.580199689"/>
    <n v="88370194.323183492"/>
    <n v="82759388.334410176"/>
    <n v="82058037.585813403"/>
    <n v="89071545.071780249"/>
    <n v="90474246.568973005"/>
    <n v="97487754.054940626"/>
    <n v="99591806.300730139"/>
    <n v="100293157.0493269"/>
  </r>
  <r>
    <x v="179"/>
    <s v="NZL"/>
    <s v="PIB (US$ a precios constantes de 2015)"/>
    <s v="NY.GDP.MKTP.KD"/>
    <n v="42162423824.201965"/>
    <n v="43560382084.186073"/>
    <n v="44902422331.780418"/>
    <n v="47642420839.358803"/>
    <n v="50550173384.10659"/>
    <n v="53639664438.020988"/>
    <n v="56991318628.006874"/>
    <n v="54375745350.101608"/>
    <n v="54349183598.570442"/>
    <n v="59889904546.14122"/>
    <n v="59052878688.737434"/>
    <n v="61288300384.434784"/>
    <n v="64425714494.428467"/>
    <n v="69451099813.503983"/>
    <n v="73613610013.564438"/>
    <n v="72338855636.481155"/>
    <n v="73010748065.200638"/>
    <n v="70136798061.333054"/>
    <n v="70360213392.841614"/>
    <n v="71902247947.139969"/>
    <n v="72825593891.106903"/>
    <n v="76215882424.728485"/>
    <n v="76924405934.552582"/>
    <n v="79610077581.547821"/>
    <n v="83426105754.981796"/>
    <n v="84773628550.009598"/>
    <n v="87067151100.960617"/>
    <n v="87913160968.636124"/>
    <n v="87601472829.0242"/>
    <n v="87742865112.711166"/>
    <n v="87877226590.421722"/>
    <n v="86918728011.297256"/>
    <n v="87869415436.112885"/>
    <n v="93486046130.511307"/>
    <n v="98271508917.519455"/>
    <n v="102912455238.062"/>
    <n v="106628492825.88605"/>
    <n v="108845461043.60254"/>
    <n v="109780524765.07607"/>
    <n v="115682283163.93237"/>
    <n v="119003047472.93356"/>
    <n v="123062801652.74841"/>
    <n v="128863789117.66238"/>
    <n v="134957716138.70529"/>
    <n v="140475137990.55069"/>
    <n v="145185608535.71362"/>
    <n v="149221146114.82065"/>
    <n v="153772257535.87054"/>
    <n v="151866196412.07132"/>
    <n v="151787298244.39056"/>
    <n v="153980049861.39923"/>
    <n v="157431269722.27548"/>
    <n v="161035600341.70749"/>
    <n v="165480472114.22794"/>
    <n v="171693137607.00153"/>
    <n v="178104220784.8812"/>
    <n v="184780121689.70868"/>
    <n v="191057624435.57248"/>
    <n v="197743680329.155"/>
    <n v="202414311267.63022"/>
    <n v="201554239788.00192"/>
    <n v="210717394654.7186"/>
    <n v="216564470789.23975"/>
    <n v="217933683113.80746"/>
  </r>
  <r>
    <x v="180"/>
    <s v="OED"/>
    <s v="PIB (US$ a precios constantes de 2015)"/>
    <s v="NY.GDP.MKTP.KD"/>
    <n v="8948346027169.0977"/>
    <n v="9342852921542.502"/>
    <n v="9861499709315.4473"/>
    <n v="10363652967359.461"/>
    <n v="11032602623041.459"/>
    <n v="11635240357323.912"/>
    <n v="12281623217755.783"/>
    <n v="12750886249977.193"/>
    <n v="13508620794395.463"/>
    <n v="14254468474724.938"/>
    <n v="14647877560579.307"/>
    <n v="15199271795499.959"/>
    <n v="16016917560333.016"/>
    <n v="16983912733219.061"/>
    <n v="17167646741588.662"/>
    <n v="17188051101792.807"/>
    <n v="18001061872412.402"/>
    <n v="18675954697843.09"/>
    <n v="19496564119654.082"/>
    <n v="20259500107055.516"/>
    <n v="20513188915475.723"/>
    <n v="20952487947905.129"/>
    <n v="20985846333457.676"/>
    <n v="21588184215412.57"/>
    <n v="22607339655383.547"/>
    <n v="23444945461518.523"/>
    <n v="24153189678690.57"/>
    <n v="25007710547364.43"/>
    <n v="26140007753037.969"/>
    <n v="27128056710189.141"/>
    <n v="27925341151441.66"/>
    <n v="28244954833652.148"/>
    <n v="28835319367937.598"/>
    <n v="29237695196078.297"/>
    <n v="30178543031138.672"/>
    <n v="30984364722834.859"/>
    <n v="31946556307940.289"/>
    <n v="33107594496415.527"/>
    <n v="34112449119805.621"/>
    <n v="35280966758816.914"/>
    <n v="36725003644369.195"/>
    <n v="37245159622907.836"/>
    <n v="37818678011455.227"/>
    <n v="38587568171425.242"/>
    <n v="39847636952218.211"/>
    <n v="40971305309532.688"/>
    <n v="42211234036336.938"/>
    <n v="43306711817056.031"/>
    <n v="43473485744242.898"/>
    <n v="41996583032200.398"/>
    <n v="43243456457108.852"/>
    <n v="44055885980384.664"/>
    <n v="44669635537732.383"/>
    <n v="45388405611186.336"/>
    <n v="46376303676516.008"/>
    <n v="47536673280840.766"/>
    <n v="48416746488822.875"/>
    <n v="49668854619836.227"/>
    <n v="50833007459349.945"/>
    <n v="51747715567234.047"/>
    <n v="49701947999534.383"/>
    <n v="52542241395444.102"/>
    <n v="54002049401173.789"/>
    <n v="54902012663425.859"/>
  </r>
  <r>
    <x v="181"/>
    <s v="OMN"/>
    <s v="PIB (US$ a precios constantes de 2015)"/>
    <s v="NY.GDP.MKTP.KD"/>
    <m/>
    <m/>
    <m/>
    <m/>
    <m/>
    <n v="1595621860.9119165"/>
    <n v="1678665419.8453033"/>
    <n v="2790262280.5416217"/>
    <n v="5075146584.5264683"/>
    <n v="6377742274.9285975"/>
    <n v="7263935714.7922525"/>
    <n v="7329182207.6843901"/>
    <n v="8049290789.4003172"/>
    <n v="6902101208.8981533"/>
    <n v="7695760469.7582788"/>
    <n v="9576104314.8801727"/>
    <n v="11543047911.819635"/>
    <n v="11659311606.151583"/>
    <n v="11228671307.057098"/>
    <n v="11715068326.439844"/>
    <n v="12422124728.392584"/>
    <n v="14539734068.583046"/>
    <n v="16221957658.853199"/>
    <n v="18925617927.810455"/>
    <n v="22088390355.165371"/>
    <n v="25182354730.26936"/>
    <n v="25686545708.985542"/>
    <n v="24802727111.171097"/>
    <n v="26281968613.595501"/>
    <n v="29371903351.297649"/>
    <n v="29333594829.549084"/>
    <n v="31115340232.762424"/>
    <n v="33733348946.856544"/>
    <n v="35771841957.945694"/>
    <n v="37158277767.461174"/>
    <n v="39015009844.3554"/>
    <n v="40203383600.011353"/>
    <n v="42629059777.795204"/>
    <n v="43755463636.997795"/>
    <n v="43900511060.415947"/>
    <n v="46776462902.877869"/>
    <n v="48873359366.00206"/>
    <n v="48335309965.917099"/>
    <n v="47045438181.713058"/>
    <n v="47653362006.42128"/>
    <n v="48840036102.29586"/>
    <n v="51463668567.78064"/>
    <n v="53755182880.24041"/>
    <n v="58163149890.176315"/>
    <n v="61718311709.49987"/>
    <n v="62776154506.694351"/>
    <n v="64593279186.562347"/>
    <n v="70318260489.74913"/>
    <n v="73994291063.383011"/>
    <n v="74950483987.160599"/>
    <n v="78710793237.97139"/>
    <n v="82682873555.796097"/>
    <n v="82934277088.564575"/>
    <n v="84001727416.207443"/>
    <n v="83053590626.718735"/>
    <n v="80246616464.654938"/>
    <n v="82728063877.99826"/>
    <n v="86294680434.924057"/>
    <n v="87416511280.578064"/>
  </r>
  <r>
    <x v="182"/>
    <s v="OSS"/>
    <s v="PIB (US$ a precios constantes de 2015)"/>
    <s v="NY.GDP.MKTP.KD"/>
    <m/>
    <m/>
    <m/>
    <m/>
    <m/>
    <m/>
    <m/>
    <m/>
    <m/>
    <m/>
    <m/>
    <m/>
    <m/>
    <m/>
    <m/>
    <n v="34200212230.715511"/>
    <n v="40473188161.779686"/>
    <n v="44935175549.022614"/>
    <n v="47743242506.892921"/>
    <n v="52851800618.982864"/>
    <n v="52954779382.119164"/>
    <n v="50518758387.361717"/>
    <n v="51223468770.620224"/>
    <n v="52292271665.799355"/>
    <n v="54542055820.314812"/>
    <n v="55302437330.726662"/>
    <n v="56953426008.604248"/>
    <n v="60974099331.704628"/>
    <n v="63797530116.76149"/>
    <n v="65730607049.081512"/>
    <n v="68979478122.29277"/>
    <n v="69700537036.629486"/>
    <n v="69376060185.943939"/>
    <n v="71171540365.202072"/>
    <n v="73043171935.899368"/>
    <n v="76548488473.573318"/>
    <n v="79508607412.806351"/>
    <n v="83289197621.288116"/>
    <n v="87159331630.77301"/>
    <n v="89527426119.982574"/>
    <n v="95813545785.67926"/>
    <n v="98896279450.249985"/>
    <n v="102283142464.62489"/>
    <n v="106904519128.76814"/>
    <n v="112183493272.21202"/>
    <n v="117727530040.19235"/>
    <n v="125258877889.40808"/>
    <n v="133213367689.0349"/>
    <n v="135954422626.15808"/>
    <n v="131061582529.25674"/>
    <n v="134617804304.81599"/>
    <n v="138661147032.78635"/>
    <n v="140923432111.10266"/>
    <n v="143321213416.89209"/>
    <n v="146782687585.69043"/>
    <n v="151721848514.72879"/>
    <n v="157625661866.19821"/>
    <n v="165133857936.02768"/>
    <n v="171691128886.21371"/>
    <n v="178668997722.54291"/>
    <n v="168453969582.30521"/>
    <n v="179548358716.01382"/>
    <n v="187700156522.27496"/>
    <n v="192355021783.172"/>
  </r>
  <r>
    <x v="183"/>
    <s v="PAK"/>
    <s v="PIB (US$ a precios constantes de 2015)"/>
    <s v="NY.GDP.MKTP.KD"/>
    <n v="18921911099.490364"/>
    <n v="20054831466.167088"/>
    <n v="20953861208.772011"/>
    <n v="22774506905.770836"/>
    <n v="24498481838.756485"/>
    <n v="27051068282.375973"/>
    <n v="28617312097.698586"/>
    <n v="30162822259.829311"/>
    <n v="32344565831.098515"/>
    <n v="34126072054.221462"/>
    <n v="38000562580.818947"/>
    <n v="38178546784.224564"/>
    <n v="38489093528.94442"/>
    <n v="41208064651.973511"/>
    <n v="42666909141.786858"/>
    <n v="44463790022.850891"/>
    <n v="46756427335.262794"/>
    <n v="48602230016.433273"/>
    <n v="52513996839.07132"/>
    <n v="54487701574.729073"/>
    <n v="60054003904.31469"/>
    <n v="64810739569.093742"/>
    <n v="69047733113.396164"/>
    <n v="73728049698.122421"/>
    <n v="77462527003.711029"/>
    <n v="83343570902.387665"/>
    <n v="87928845524.531326"/>
    <n v="93602316255.411942"/>
    <n v="100739753814.04057"/>
    <n v="105736212788.01393"/>
    <n v="110450553630.16467"/>
    <n v="116041083242.3235"/>
    <n v="124983090542.90286"/>
    <n v="127179977939.61852"/>
    <n v="131933222221.38458"/>
    <n v="138480552374.26266"/>
    <n v="145192124911.51385"/>
    <n v="146664948034.58145"/>
    <n v="150405247842.75833"/>
    <n v="155910279560.87549"/>
    <n v="162552194688.5715"/>
    <n v="168487544527.03299"/>
    <n v="172859487443.65378"/>
    <n v="182196165734.20782"/>
    <n v="196464413110.8884"/>
    <n v="210760292372.08044"/>
    <n v="223514741630.68466"/>
    <n v="233449556918.44089"/>
    <n v="238399717138.76089"/>
    <n v="246678267936.34683"/>
    <n v="250382678707.75079"/>
    <n v="257093227079.83734"/>
    <n v="264876940258.88486"/>
    <n v="276443758787.987"/>
    <n v="287823367553.40497"/>
    <n v="299963590534.7735"/>
    <n v="319682711890.7403"/>
    <n v="333853050597.69714"/>
    <n v="354390697428.20276"/>
    <n v="363242090361.64703"/>
    <n v="358614068499.2525"/>
    <n v="381973779235.29974"/>
    <n v="400184530157.81293"/>
    <n v="400165100120.7807"/>
  </r>
  <r>
    <x v="184"/>
    <s v="PAN"/>
    <s v="PIB (US$ a precios constantes de 2015)"/>
    <s v="NY.GDP.MKTP.KD"/>
    <n v="3068858405.6662383"/>
    <n v="3404180129.9164801"/>
    <n v="3684845822.5059633"/>
    <n v="3999487024.8731875"/>
    <n v="4176749503.8784451"/>
    <n v="4559341273.0088692"/>
    <n v="4905003258.1262732"/>
    <n v="5324524811.1210165"/>
    <n v="5696037599.5601263"/>
    <n v="6176862300.5386887"/>
    <n v="6606724114.4005957"/>
    <n v="7242035794.666995"/>
    <n v="7573924716.6998529"/>
    <n v="7980213534.1212234"/>
    <n v="8175594663.2036409"/>
    <n v="8317925180.0412951"/>
    <n v="8456373830.5943136"/>
    <n v="8548888749.7068405"/>
    <n v="9386050983.9258327"/>
    <n v="9809807822.0780087"/>
    <n v="11093370334.212639"/>
    <n v="12114715802.863495"/>
    <n v="12762666100.21278"/>
    <n v="12189448265.334047"/>
    <n v="12519718169.163824"/>
    <n v="13138471893.598196"/>
    <n v="13607224747.182066"/>
    <n v="13361062502.027433"/>
    <n v="11573373211.552271"/>
    <n v="11754177887.984533"/>
    <n v="12706147933.013716"/>
    <n v="13902940740.913219"/>
    <n v="15043215473.441975"/>
    <n v="15863934852.709291"/>
    <n v="16316080331.959763"/>
    <n v="16601885651.019836"/>
    <n v="17279193269.480141"/>
    <n v="18395600277.519047"/>
    <n v="19746113425.358692"/>
    <n v="20519609504.880859"/>
    <n v="21076793605.635807"/>
    <n v="21197831972.424698"/>
    <n v="21670363300.268906"/>
    <n v="22581709541.651604"/>
    <n v="24280323735.580017"/>
    <n v="26026389641.346825"/>
    <n v="28278314074.317764"/>
    <n v="31667183022.901169"/>
    <n v="34788191364.089638"/>
    <n v="35220605843.812729"/>
    <n v="37273260444.790688"/>
    <n v="41490217718.066093"/>
    <n v="45547334554.493492"/>
    <n v="48691898897.238251"/>
    <n v="51158836140.151688"/>
    <n v="54091800000"/>
    <n v="56771081242.732887"/>
    <n v="59945236912.477074"/>
    <n v="62154476546.890816"/>
    <n v="64194308759.810257"/>
    <n v="52852244699.633156"/>
    <n v="61221801991.487984"/>
    <n v="67839490712.894249"/>
    <n v="72803155248.877426"/>
  </r>
  <r>
    <x v="185"/>
    <s v="PER"/>
    <s v="PIB (US$ a precios constantes de 2015)"/>
    <s v="NY.GDP.MKTP.KD"/>
    <n v="27514598739.236217"/>
    <n v="29536122813.821396"/>
    <n v="32500159377.744205"/>
    <n v="33906847467.00605"/>
    <n v="36127022963.59269"/>
    <n v="38157987897.837349"/>
    <n v="41301794164.442665"/>
    <n v="42892972386.216759"/>
    <n v="42958271665.52813"/>
    <n v="44468022472.739243"/>
    <n v="45964792097.918579"/>
    <n v="48074824231.811333"/>
    <n v="49746643129.843437"/>
    <n v="52869207462.214935"/>
    <n v="57831952689.879189"/>
    <n v="60319225840.998482"/>
    <n v="61192111990.347481"/>
    <n v="61405711440.14312"/>
    <n v="59783063686.170784"/>
    <n v="62228639707.127396"/>
    <n v="65927096478.726898"/>
    <n v="69587396442.536026"/>
    <n v="69432408996.459641"/>
    <n v="62205824296.283669"/>
    <n v="64450388680.323952"/>
    <n v="65778796308.242638"/>
    <n v="71979080889.603134"/>
    <n v="78979871696.256653"/>
    <n v="71523166041.880966"/>
    <n v="62717204194.505249"/>
    <n v="59592279647.21888"/>
    <n v="60914786737.850395"/>
    <n v="60585536757.226189"/>
    <n v="63762386032.639664"/>
    <n v="71610493993.731094"/>
    <n v="76917830598.966202"/>
    <n v="79070739970.47908"/>
    <n v="84192012966.59201"/>
    <n v="83862369616.815323"/>
    <n v="85116037105.763168"/>
    <n v="87409379264.710754"/>
    <n v="87949475111.063248"/>
    <n v="92745825187.229248"/>
    <n v="96608710264.564621"/>
    <n v="101398766434.29097"/>
    <n v="107771740073.58937"/>
    <n v="115885765581.75603"/>
    <n v="125757364463.19502"/>
    <n v="137234696225.0498"/>
    <n v="138738546494.97375"/>
    <n v="150298879148.00143"/>
    <n v="159808578409.16052"/>
    <n v="169620385179.42285"/>
    <n v="179547449111.36127"/>
    <n v="183824551906.2561"/>
    <n v="189802976285.61893"/>
    <n v="197306492869.1395"/>
    <n v="202276318741.54837"/>
    <n v="210305376512.77975"/>
    <n v="215017545590.31543"/>
    <n v="191509018299.91663"/>
    <n v="217085487224.89301"/>
    <n v="223002152647.31677"/>
    <n v="221775234260.73746"/>
  </r>
  <r>
    <x v="186"/>
    <s v="PHL"/>
    <s v="PIB (US$ a precios constantes de 2015)"/>
    <s v="NY.GDP.MKTP.KD"/>
    <n v="31344414579.486839"/>
    <n v="33129626606.40234"/>
    <n v="34735185775.518486"/>
    <n v="37172298521.741508"/>
    <n v="38437083910.570282"/>
    <n v="40491580381.176857"/>
    <n v="42289875658.837326"/>
    <n v="44498543746.370796"/>
    <n v="46740451309.625381"/>
    <n v="48932332359.997627"/>
    <n v="50739152609.266594"/>
    <n v="53473489813.694923"/>
    <n v="56377307517.102234"/>
    <n v="61328367806.201233"/>
    <n v="63410224491.581749"/>
    <n v="66866781058.496902"/>
    <n v="72736616793.943054"/>
    <n v="76782933148.146866"/>
    <n v="80769798290.825012"/>
    <n v="85289329762.058319"/>
    <n v="89724981384.293945"/>
    <n v="92795557536.980377"/>
    <n v="96227514096.075424"/>
    <n v="98052903646.799805"/>
    <n v="91150588921.817947"/>
    <n v="84899137705.656631"/>
    <n v="87879678174.743576"/>
    <n v="91712822477.774811"/>
    <n v="97854767013.270569"/>
    <n v="103906025762.94489"/>
    <n v="107109108274.65649"/>
    <n v="106641694750.7981"/>
    <n v="107087061464.65688"/>
    <n v="109423583334.64145"/>
    <n v="114209405305.41174"/>
    <n v="119491847406.02693"/>
    <n v="126494485342.26683"/>
    <n v="133055010097.10236"/>
    <n v="132370986797.97363"/>
    <n v="136800717252.92397"/>
    <n v="142796015298.75845"/>
    <n v="147150196392.07077"/>
    <n v="152618672925.33154"/>
    <n v="160382249192.659"/>
    <n v="170918125634.49927"/>
    <n v="179365762742.90173"/>
    <n v="188901594325.14285"/>
    <n v="201216640002.15491"/>
    <n v="209958471382.78085"/>
    <n v="212999348346.02905"/>
    <n v="228621785476.22552"/>
    <n v="237442546246.75861"/>
    <n v="253818843995.32895"/>
    <n v="270952964514.55118"/>
    <n v="288153024779.42957"/>
    <n v="306445871246.71777"/>
    <n v="328355086282.44696"/>
    <n v="351113338977.94171"/>
    <n v="373379140707.04718"/>
    <n v="396224439244.72009"/>
    <n v="358510629282.92236"/>
    <n v="378998555004.40564"/>
    <n v="407730367724.12073"/>
    <n v="430342487096.57269"/>
  </r>
  <r>
    <x v="187"/>
    <s v="PLW"/>
    <s v="PIB (US$ a precios constantes de 2015)"/>
    <s v="NY.GDP.MKTP.KD"/>
    <m/>
    <m/>
    <m/>
    <m/>
    <m/>
    <m/>
    <m/>
    <m/>
    <m/>
    <m/>
    <n v="146879491.37479484"/>
    <n v="147065058.81471303"/>
    <n v="147566993.49121073"/>
    <n v="147865115.58916304"/>
    <n v="148021163.86612773"/>
    <n v="148058564.28886539"/>
    <n v="147997084.4615854"/>
    <n v="150113597.22129655"/>
    <n v="149380149.98297706"/>
    <n v="148821248.42279607"/>
    <n v="148264441.6419003"/>
    <n v="147709714.08224782"/>
    <n v="147157059.07610634"/>
    <n v="150000146.8645331"/>
    <n v="156933148.40770683"/>
    <n v="165464828.82600939"/>
    <n v="174460335.60714069"/>
    <n v="183944881.67016333"/>
    <n v="193945056.82089689"/>
    <n v="204488892.20666447"/>
    <n v="215605944.77423686"/>
    <n v="226181873.34259209"/>
    <n v="211706236.68317443"/>
    <n v="185666222.80533904"/>
    <n v="199219923.57970154"/>
    <n v="220934894.74449772"/>
    <n v="243912233.77120051"/>
    <n v="249522184.82442451"/>
    <n v="254512525.4209674"/>
    <n v="240768898.37448409"/>
    <n v="234499511.98367599"/>
    <n v="249742896.43007866"/>
    <n v="262270497.08567071"/>
    <n v="253816642.09428987"/>
    <n v="263814615.97695243"/>
    <n v="272821219.37703609"/>
    <n v="272483676.62955284"/>
    <n v="277263049.2959677"/>
    <n v="262030394.80882788"/>
    <n v="243005383.9514842"/>
    <n v="240828321.86900684"/>
    <n v="253154588.05709365"/>
    <n v="256327763.57515639"/>
    <n v="248544888.70302558"/>
    <n v="261703986.33791247"/>
    <n v="287215972.90039104"/>
    <n v="289750513.68364894"/>
    <n v="279494476.50537723"/>
    <n v="281265075.29043716"/>
    <n v="283823097.57874966"/>
    <n v="262343305.30200279"/>
    <n v="225184865.44874802"/>
    <n v="224369046.43011245"/>
    <n v="225375185.65177235"/>
  </r>
  <r>
    <x v="188"/>
    <s v="PNG"/>
    <s v="PIB (US$ a precios constantes de 2015)"/>
    <s v="NY.GDP.MKTP.KD"/>
    <n v="2618701702.1365867"/>
    <n v="2780566579.9730525"/>
    <n v="2957802655.3346076"/>
    <n v="3078259812.4040895"/>
    <n v="3342075344.516943"/>
    <n v="3685257013.2888246"/>
    <n v="3899508937.0279264"/>
    <n v="4058236946.0084772"/>
    <n v="4235159448.2645583"/>
    <n v="4585553584.2386379"/>
    <n v="5082756253.2091837"/>
    <n v="5402725547.0787487"/>
    <n v="5707631246.8248348"/>
    <n v="6080297606.5894804"/>
    <n v="6239025757.3860931"/>
    <n v="6184129557.7202682"/>
    <n v="5974583505.4132853"/>
    <n v="6024460260.6167507"/>
    <n v="6539543138.5328751"/>
    <n v="6659373433.7006388"/>
    <n v="6505978016.3507137"/>
    <n v="6488097664.8367329"/>
    <n v="6510997034.9887161"/>
    <n v="6720857086.4888477"/>
    <n v="6697016428.5900679"/>
    <n v="6964909833.1092529"/>
    <n v="7291777026.3694086"/>
    <n v="7493795332.0243235"/>
    <n v="7711807859.6461716"/>
    <n v="7602332586.6082582"/>
    <n v="7373337464.2946177"/>
    <n v="8077262449.8533621"/>
    <n v="9195889413.9302807"/>
    <n v="10869751500.950676"/>
    <n v="11515643989.653118"/>
    <n v="11134194181.00486"/>
    <n v="11995278888.518385"/>
    <n v="11526936460.339508"/>
    <n v="11092473174.60146"/>
    <n v="11298300003.635935"/>
    <n v="11016425270.695272"/>
    <n v="11003063602.10136"/>
    <n v="10985579675.382196"/>
    <n v="11223318880.020605"/>
    <n v="11528725110.716816"/>
    <n v="12260199191.526583"/>
    <n v="12923469113.242363"/>
    <n v="13933462679.345013"/>
    <n v="13892155836.029251"/>
    <n v="14836880985.985117"/>
    <n v="16339627662.371357"/>
    <n v="16520596167.090136"/>
    <n v="17289980088.706188"/>
    <n v="17951312547.222252"/>
    <n v="20382597142.194332"/>
    <n v="21723437010.098206"/>
    <n v="22915960976.066036"/>
    <n v="23725951011.661198"/>
    <n v="23659695751.332653"/>
    <n v="24719752004.78088"/>
    <n v="23936783232.9543"/>
    <n v="23749997636.512306"/>
    <n v="24976697204.439011"/>
    <n v="25646325074.996456"/>
  </r>
  <r>
    <x v="189"/>
    <s v="POL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4797367584.79193"/>
    <n v="181131204775.16916"/>
    <n v="185686615837.64429"/>
    <n v="192628157713.22461"/>
    <n v="202823584825.57373"/>
    <n v="217229871335.72095"/>
    <n v="230514657116.32846"/>
    <n v="245380554450.19238"/>
    <n v="256767475792.5455"/>
    <n v="268719724101.33978"/>
    <n v="280975991510.81055"/>
    <n v="284512269531.76825"/>
    <n v="290304549675.02332"/>
    <n v="300460538532.96204"/>
    <n v="315432020161.82532"/>
    <n v="326493699429.63275"/>
    <n v="346511473670.24829"/>
    <n v="370980501392.75787"/>
    <n v="386561612946.01422"/>
    <n v="397509749303.62128"/>
    <n v="409175222178.00775"/>
    <n v="429806605650.61682"/>
    <n v="436448070035.81378"/>
    <n v="440186496882.87579"/>
    <n v="457076270062.34253"/>
    <n v="477111287969.22668"/>
    <n v="491202812044.03766"/>
    <n v="516450722907.54736"/>
    <n v="547154795065.65857"/>
    <n v="571503117124.28699"/>
    <n v="559958349913.78162"/>
    <n v="598791351638.14819"/>
    <n v="632548613874.51904"/>
    <n v="633564398461.33435"/>
  </r>
  <r>
    <x v="190"/>
    <s v="PRE"/>
    <s v="PIB (US$ a precios constantes de 2015)"/>
    <s v="NY.GDP.MKTP.KD"/>
    <n v="179275520884.86609"/>
    <n v="178730545160.88702"/>
    <n v="189702313258.06631"/>
    <n v="200740230612.27988"/>
    <n v="210095889226.47177"/>
    <n v="219352011309.94412"/>
    <n v="221933442506.70703"/>
    <n v="209064638148.27023"/>
    <n v="216664926148.51761"/>
    <n v="241299044923.43689"/>
    <n v="262164113202.73727"/>
    <n v="286887884741.95886"/>
    <n v="296757833109.71381"/>
    <n v="308898258538.15277"/>
    <n v="334882213617.15747"/>
    <n v="333598735253.82294"/>
    <n v="356837573843.59009"/>
    <n v="373695924231.08154"/>
    <n v="373107808346.36755"/>
    <n v="394486585222.28363"/>
    <n v="411226413230.12689"/>
    <n v="394654965768.01666"/>
    <n v="389795464711.99689"/>
    <n v="371064594178.80786"/>
    <n v="373306486744.77637"/>
    <n v="386968481509.44336"/>
    <n v="396940762842.46936"/>
    <n v="412422660925.711"/>
    <n v="428147863837.18164"/>
    <n v="434004035149.06891"/>
    <n v="470187336409.38501"/>
    <n v="431209188802.25177"/>
    <n v="441472043444.91522"/>
    <n v="439523671359.58618"/>
    <n v="439451890480.13385"/>
    <n v="453107113928.28088"/>
    <n v="478599225839.50702"/>
    <n v="508829361583.8631"/>
    <n v="544285223059.34174"/>
    <n v="567534540966.6228"/>
    <n v="599176646414.20911"/>
    <n v="625131799277.90662"/>
    <n v="662132300897.8844"/>
    <n v="657316393592.32617"/>
    <n v="735981729015.04333"/>
    <n v="779942839952.79602"/>
    <n v="828495562734.96167"/>
    <n v="878721047407.35547"/>
    <n v="934845153249.38269"/>
    <n v="980860683775.12866"/>
    <n v="1045224221375.0403"/>
    <n v="1090134472264.4956"/>
    <n v="1136470677133.3301"/>
    <n v="1203059790192.4385"/>
    <n v="1264402573646.2791"/>
    <n v="1305833014908.772"/>
    <n v="1337151141173.1216"/>
    <n v="1358749925098.0659"/>
    <n v="1393905719840.3135"/>
    <n v="1440015627195.5247"/>
    <n v="1403133138901.1301"/>
    <n v="1447391606250.1008"/>
    <n v="1507322263242.5164"/>
    <n v="1542996994547.0376"/>
  </r>
  <r>
    <x v="191"/>
    <s v="PRI"/>
    <s v="PIB (US$ a precios constantes de 2015)"/>
    <s v="NY.GDP.MKTP.KD"/>
    <n v="14872866396.250641"/>
    <n v="15920174750.848047"/>
    <n v="17245260650.733315"/>
    <n v="18737156256.931793"/>
    <n v="20060172567.421116"/>
    <n v="21906679851.013874"/>
    <n v="23549494281.424675"/>
    <n v="25015031909.467583"/>
    <n v="26310919277.198105"/>
    <n v="28777629536.478394"/>
    <n v="31194351251.888046"/>
    <n v="33180011638.845833"/>
    <n v="35560204650.853806"/>
    <n v="37816462599.762085"/>
    <n v="38919711945.718643"/>
    <n v="38664956204.485222"/>
    <n v="41078843373.412117"/>
    <n v="43523314808.274025"/>
    <n v="46540327586.300781"/>
    <n v="50220189697.605919"/>
    <n v="52351266023.763985"/>
    <n v="52952230929.469276"/>
    <n v="52127953623.309189"/>
    <n v="50907130172.855873"/>
    <n v="53925254341.414558"/>
    <n v="55595558165.567444"/>
    <n v="58362753380.832314"/>
    <n v="61729699983.491882"/>
    <n v="65364574808.320038"/>
    <n v="68198098010.780098"/>
    <n v="66260903262.288452"/>
    <n v="67787813677.758698"/>
    <n v="70881684617.957443"/>
    <n v="74173803598.984406"/>
    <n v="77278688319.229172"/>
    <n v="80794086659.370819"/>
    <n v="82663425508.998978"/>
    <n v="86697472764.034744"/>
    <n v="91492472094.977066"/>
    <n v="96423641797.396957"/>
    <n v="99578589154.214447"/>
    <n v="105865455055.02646"/>
    <n v="106835668951.80746"/>
    <n v="106892740357.49985"/>
    <n v="116244440869.29875"/>
    <n v="113934735048.33228"/>
    <n v="112328922913.8654"/>
    <n v="111022754683.08836"/>
    <n v="108975346038.92819"/>
    <n v="106847683984.58502"/>
    <n v="106406131530.01312"/>
    <n v="106024654239.328"/>
    <n v="106055693074.00299"/>
    <n v="105730285936.28006"/>
    <n v="104471711252.8399"/>
    <n v="103375500000"/>
    <n v="102069149649.47845"/>
    <n v="99124231779.414749"/>
    <n v="94801000739.696381"/>
    <n v="96389357184.370697"/>
    <n v="92359439312.91658"/>
    <n v="92715228856.779755"/>
    <n v="96023410438.33963"/>
    <n v="96564521010.436401"/>
  </r>
  <r>
    <x v="192"/>
    <s v="PRK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3"/>
    <s v="PRT"/>
    <s v="PIB (US$ a precios constantes de 2015)"/>
    <s v="NY.GDP.MKTP.KD"/>
    <n v="35972245442.051025"/>
    <n v="37963274505.301506"/>
    <n v="40474335468.770798"/>
    <n v="42851677367.702957"/>
    <n v="45555938475.574661"/>
    <n v="48958506295.023582"/>
    <n v="50954989841.964615"/>
    <n v="54799280148.220024"/>
    <n v="59662995317.812958"/>
    <n v="60928293017.818832"/>
    <n v="66481201352.326942"/>
    <n v="70890003936.004288"/>
    <n v="76572330934.337494"/>
    <n v="85148946573.309753"/>
    <n v="86122079248.932022"/>
    <n v="82377809425.478516"/>
    <n v="88062068085.754288"/>
    <n v="92995831146.066406"/>
    <n v="95614562274.702728"/>
    <n v="101006207990.82109"/>
    <n v="105641726219.54297"/>
    <n v="107351119444.7422"/>
    <n v="109643468494.88203"/>
    <n v="109453660796.14415"/>
    <n v="107395954860.65234"/>
    <n v="110411030622.1293"/>
    <n v="114983102465.71367"/>
    <n v="122320627422.59064"/>
    <n v="131481351670.3969"/>
    <n v="139949591199.7258"/>
    <n v="145478331657.14844"/>
    <n v="151833125542.38629"/>
    <n v="153487311625.17383"/>
    <n v="150351141407.78827"/>
    <n v="151801786241.27771"/>
    <n v="158303123479.59647"/>
    <n v="163850456044.52731"/>
    <n v="171061297929.06561"/>
    <n v="179285861799.30389"/>
    <n v="186289802829.51129"/>
    <n v="193398953419.57224"/>
    <n v="197157995297.65152"/>
    <n v="198677933649.21207"/>
    <n v="196829193371.54056"/>
    <n v="200349947385.1261"/>
    <n v="201916379874.36826"/>
    <n v="205197590054.86789"/>
    <n v="210341031080.27606"/>
    <n v="211012540457.55612"/>
    <n v="204424561357.60846"/>
    <n v="207976694614.76666"/>
    <n v="204449067168.8237"/>
    <n v="196153968235.58972"/>
    <n v="194344164093.78894"/>
    <n v="195883739714.00067"/>
    <n v="199394066525.44012"/>
    <n v="203420800578.6405"/>
    <n v="210553436228.05728"/>
    <n v="216552789892.19321"/>
    <n v="222362381347.61975"/>
    <n v="203905155102.50415"/>
    <n v="215604085361.88385"/>
    <n v="230324477738.9389"/>
    <n v="235532701003.00494"/>
  </r>
  <r>
    <x v="194"/>
    <s v="PRY"/>
    <s v="PIB (US$ a precios constantes de 2015)"/>
    <s v="NY.GDP.MKTP.KD"/>
    <n v="2840643135.3198419"/>
    <n v="3036655622.0972705"/>
    <n v="3136873107.867764"/>
    <n v="3284628970.2097654"/>
    <n v="3422993221.9220119"/>
    <n v="3634122579.7643833"/>
    <n v="3706496252.1482916"/>
    <n v="4045654269.6275592"/>
    <n v="4228804025.8008003"/>
    <n v="4427606505.7889366"/>
    <n v="4673490344.8426676"/>
    <n v="4932315341.1747599"/>
    <n v="5259391843.8893213"/>
    <n v="5643475390.3159723"/>
    <n v="6116484715.6579418"/>
    <n v="6535613449.2465858"/>
    <n v="7027480419.0060587"/>
    <n v="7835224752.930872"/>
    <n v="8777702779.1325989"/>
    <n v="9818926783.4967556"/>
    <n v="10968933818.460199"/>
    <n v="11974835380.503208"/>
    <n v="11807472959.519754"/>
    <n v="11448216675.520094"/>
    <n v="11770667082.981342"/>
    <n v="12303070325.386667"/>
    <n v="12913897548.879293"/>
    <n v="13893068567.845518"/>
    <n v="14714895264.957012"/>
    <n v="15735403256.87705"/>
    <n v="16384218445.375149"/>
    <n v="16956625718.473564"/>
    <n v="17244282666.924065"/>
    <n v="18095522437.859356"/>
    <n v="19057827421.294865"/>
    <n v="20358106834.234566"/>
    <n v="20678499692.697544"/>
    <n v="21555788371.956715"/>
    <n v="21570454446.611729"/>
    <n v="21275784844.543911"/>
    <n v="20783433276.255402"/>
    <n v="20610088070.713017"/>
    <n v="20605676606.052807"/>
    <n v="21495995447.768841"/>
    <n v="22368177914.51334"/>
    <n v="22845400902.159706"/>
    <n v="23943606096.664955"/>
    <n v="25241738121.22699"/>
    <n v="26881515165.673866"/>
    <n v="26811317495.222733"/>
    <n v="29786095177.463451"/>
    <n v="31062837784.846657"/>
    <n v="30842899501.420879"/>
    <n v="33400724748.62394"/>
    <n v="35171376859.129356"/>
    <n v="36211447840.097137"/>
    <n v="37756961788.468613"/>
    <n v="39573101423.950211"/>
    <n v="40841122661.178963"/>
    <n v="40677000526.590034"/>
    <n v="40343536418.787483"/>
    <n v="41964030301.442413"/>
    <n v="42037903094.748581"/>
    <n v="44019622007.03595"/>
  </r>
  <r>
    <x v="195"/>
    <s v="PSE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57675100.000001"/>
    <n v="5417706300"/>
    <n v="5483539600"/>
    <n v="6287822700"/>
    <n v="7189132000"/>
    <n v="7784423000"/>
    <n v="7118373500"/>
    <n v="6455607500"/>
    <n v="5649354300"/>
    <n v="6441160199.999999"/>
    <n v="7853399999.9999981"/>
    <n v="8740099999.9999981"/>
    <n v="8652999999.9999981"/>
    <n v="8980799999.9999981"/>
    <n v="9647999999.9999981"/>
    <n v="10477099999.999998"/>
    <n v="11082399999.999998"/>
    <n v="12146400000"/>
    <n v="12886900000"/>
    <n v="13492400000"/>
    <n v="13471100000"/>
    <n v="13972400000"/>
    <n v="15211000000"/>
    <n v="15426900000"/>
    <n v="15616199999.999998"/>
    <n v="15828999999.999998"/>
    <n v="14037399999.999998"/>
    <n v="15021699999.999998"/>
    <n v="15635000000"/>
    <n v="14773700000"/>
  </r>
  <r>
    <x v="196"/>
    <s v="PSS"/>
    <s v="PIB (US$ a precios constantes de 2015)"/>
    <s v="NY.GDP.MKTP.KD"/>
    <m/>
    <m/>
    <m/>
    <m/>
    <m/>
    <m/>
    <m/>
    <m/>
    <m/>
    <m/>
    <n v="3098185683.446516"/>
    <n v="3295749998.0438395"/>
    <n v="3478592106.8109598"/>
    <n v="3870634793.9052224"/>
    <n v="4001701908.965538"/>
    <n v="4017642185.3065267"/>
    <n v="4050590286.6871819"/>
    <n v="4189031348.7354212"/>
    <n v="4282157447.7839022"/>
    <n v="4653316232.4939518"/>
    <n v="4473403655.583127"/>
    <n v="4611311706.9158087"/>
    <n v="4459763279.5165987"/>
    <n v="4408339347.0227613"/>
    <n v="4648352996.9965305"/>
    <n v="4566745890.962554"/>
    <n v="4814808165.555501"/>
    <n v="4716331324.9396172"/>
    <n v="4773468828.3722372"/>
    <n v="4995314067.1145153"/>
    <n v="5183946089.1956205"/>
    <n v="5164160769.6403131"/>
    <n v="5422771834.5266333"/>
    <n v="5530414721.4701738"/>
    <n v="5796234082.7998371"/>
    <n v="6057883142.5503588"/>
    <n v="6249145119.4451427"/>
    <n v="6176567970.1893406"/>
    <n v="6267096186.9000216"/>
    <n v="6541409369.2032242"/>
    <n v="6430945903.9259548"/>
    <n v="6496810890.0950766"/>
    <n v="6631008461.3986616"/>
    <n v="6762715253.3544216"/>
    <n v="7032621467.9127483"/>
    <n v="7204204470.6516504"/>
    <n v="7375358229.3138828"/>
    <n v="7406398059.8764753"/>
    <n v="7564244457.1998854"/>
    <n v="7519458467.6294346"/>
    <n v="7799958754.7312441"/>
    <n v="8101199669.9515162"/>
    <n v="8182698430.1808643"/>
    <n v="8445745767.9091492"/>
    <n v="8751844703.7526169"/>
    <n v="9082590662.6122475"/>
    <n v="9425967751.4974747"/>
    <n v="9803525058.6094627"/>
    <n v="10074414114.938847"/>
    <n v="10196767897.370928"/>
    <n v="9151286296.3475952"/>
    <n v="8888830558.5976276"/>
    <n v="9716238209.3488979"/>
    <n v="10275743091.703037"/>
  </r>
  <r>
    <x v="197"/>
    <s v="PST"/>
    <s v="PIB (US$ a precios constantes de 2015)"/>
    <s v="NY.GDP.MKTP.KD"/>
    <n v="8666987892944.623"/>
    <n v="9049100473840.5762"/>
    <n v="9554230747485.7988"/>
    <n v="10033301631147.053"/>
    <n v="10673034615441.26"/>
    <n v="11258887474780.307"/>
    <n v="11878806408565.367"/>
    <n v="12327126313296.248"/>
    <n v="13047629339613.129"/>
    <n v="13775099710073.559"/>
    <n v="14143796656681.725"/>
    <n v="14670337822678.727"/>
    <n v="15448381756828.256"/>
    <n v="16385811827721.543"/>
    <n v="16532632527879.836"/>
    <n v="16523811915869.578"/>
    <n v="17307472338722.016"/>
    <n v="17960236510910.172"/>
    <n v="18731371694318.832"/>
    <n v="19445348715065.703"/>
    <n v="19654898932742.52"/>
    <n v="20038404492376.891"/>
    <n v="20078286287443.488"/>
    <n v="20710486278534.355"/>
    <n v="21702901694305.324"/>
    <n v="22511449371841.313"/>
    <n v="23227971355387.859"/>
    <n v="24047728648519.996"/>
    <n v="25170058767524.996"/>
    <n v="26127439439526.473"/>
    <n v="26834765340709.039"/>
    <n v="27110555679040.949"/>
    <n v="27626516044900.043"/>
    <n v="27945591822006.938"/>
    <n v="28822360810237.055"/>
    <n v="29600276726514.352"/>
    <n v="30465281318046.289"/>
    <n v="31509215545031.68"/>
    <n v="32404238174754.891"/>
    <n v="33547607771236.051"/>
    <n v="34901244700851.668"/>
    <n v="35436275159472.406"/>
    <n v="35978273239184.398"/>
    <n v="36704235091977.961"/>
    <n v="37881904100493.75"/>
    <n v="38930167213121.867"/>
    <n v="40067144020573.961"/>
    <n v="41085573991936.023"/>
    <n v="41231730738373.922"/>
    <n v="39833378782171.93"/>
    <n v="40992523059900.195"/>
    <n v="41675686983478.836"/>
    <n v="42199286523206.414"/>
    <n v="42836122033632.563"/>
    <n v="43697758580739.586"/>
    <n v="44669765037594.531"/>
    <n v="45472894597029.898"/>
    <n v="46593840783783.781"/>
    <n v="47642465808422.336"/>
    <n v="48485073083213.867"/>
    <n v="46485670457136.664"/>
    <n v="49017390801235.93"/>
    <n v="50200294630168.68"/>
    <n v="51048338671861.047"/>
  </r>
  <r>
    <x v="198"/>
    <s v="PYF"/>
    <s v="PIB (US$ a precios constantes de 2015)"/>
    <s v="NY.GDP.MKTP.KD"/>
    <m/>
    <m/>
    <m/>
    <m/>
    <m/>
    <n v="2168263976.9053688"/>
    <n v="2375909473.0030608"/>
    <n v="2263311164.4094143"/>
    <n v="2601241676.2305474"/>
    <n v="2531373859.1606178"/>
    <n v="2572552004.7517691"/>
    <n v="2881320209.0344729"/>
    <n v="2746039956.693049"/>
    <n v="2960301402.6683288"/>
    <n v="3493186706.0516934"/>
    <n v="3321926157.7042093"/>
    <n v="3594444234.3005795"/>
    <n v="3669172467.6440978"/>
    <n v="4032147529.8354845"/>
    <n v="4190446584.5786228"/>
    <n v="4210766112.8824477"/>
    <n v="4322183947.5408974"/>
    <n v="4395600112.7064829"/>
    <n v="4501958486.3462429"/>
    <n v="4608217872.5966969"/>
    <n v="4554265400.7888069"/>
    <n v="5171267919.6661015"/>
    <n v="5236934247.7754116"/>
    <n v="5048476248.6647053"/>
    <n v="5157416354.6570597"/>
    <n v="5164114972.4333401"/>
    <n v="5352890580.2218323"/>
    <n v="5274878179.6944866"/>
    <n v="5206427003.2615089"/>
    <n v="5119670999.9539356"/>
    <n v="5099757045.5180559"/>
    <n v="5065663305.062026"/>
    <n v="5059441928.3276844"/>
    <n v="5147140999.4942465"/>
    <n v="5244449387.7062721"/>
    <n v="5414653325.7103996"/>
    <n v="5396157109.3809214"/>
    <n v="5441818391.6237621"/>
    <n v="5557561996.8904905"/>
    <n v="5611540325.1900072"/>
    <n v="5628934611.8032417"/>
    <n v="5679008720.0997982"/>
    <n v="5775834435.2591009"/>
    <n v="5776225317.7807255"/>
    <n v="5531810591.5616465"/>
    <n v="5395392591.5146189"/>
    <n v="5235583358.4629965"/>
    <n v="5187021348.3421984"/>
    <n v="5207707262.8418646"/>
    <n v="5238617841.1966619"/>
    <n v="5325846361.8118629"/>
    <n v="5452049984.3859081"/>
    <n v="5690550040.8698769"/>
    <n v="5794802523.9400492"/>
    <n v="5951258396.411418"/>
    <n v="5531635723.0651321"/>
    <n v="5647511817.9625654"/>
    <n v="5899733908.2319908"/>
    <m/>
  </r>
  <r>
    <x v="199"/>
    <s v="QAT"/>
    <s v="PIB (US$ a precios constantes de 2015)"/>
    <s v="NY.GDP.MKTP.KD"/>
    <m/>
    <m/>
    <m/>
    <m/>
    <m/>
    <m/>
    <m/>
    <m/>
    <m/>
    <m/>
    <n v="8816161355.2776546"/>
    <n v="9698469706.0282288"/>
    <n v="10773000938.610207"/>
    <n v="11934857801.403934"/>
    <n v="12643579838.115795"/>
    <n v="13386912643.239319"/>
    <n v="14504574217.492411"/>
    <n v="13444952238.902222"/>
    <n v="14636627609.679523"/>
    <n v="15401791822.234772"/>
    <n v="15245244655.684504"/>
    <n v="15382600056.741385"/>
    <n v="14325124117.466848"/>
    <n v="14063666906.44504"/>
    <n v="14718715617.734329"/>
    <n v="14406653785.474627"/>
    <n v="15175362083.106421"/>
    <n v="15182189690.579885"/>
    <n v="16078614414.083216"/>
    <n v="17079059748.016609"/>
    <n v="17662217766.968197"/>
    <n v="17368630637.611641"/>
    <n v="19336588139.433723"/>
    <n v="19080352040.223129"/>
    <n v="19351046602.817673"/>
    <n v="19815323923.615543"/>
    <n v="20682028472.39864"/>
    <n v="26889127082.89164"/>
    <n v="29905724796.27055"/>
    <n v="31186905292.323551"/>
    <n v="33690629183.426113"/>
    <n v="35003952796.712547"/>
    <n v="37517989780.643349"/>
    <n v="38913643496.75518"/>
    <n v="46392423696.024002"/>
    <n v="49868495957.880028"/>
    <n v="62919203862.142448"/>
    <n v="74235635940.163391"/>
    <n v="87348289335.595337"/>
    <n v="97792140945.061737"/>
    <n v="116951901413.00542"/>
    <n v="132594424542.77144"/>
    <n v="138866156527.60818"/>
    <n v="146581616623.74585"/>
    <n v="154400753941.04456"/>
    <n v="161739955576.92307"/>
    <n v="166695978169.38409"/>
    <n v="164199531361.81046"/>
    <n v="166227185730.26501"/>
    <n v="167371229300.12753"/>
    <n v="161416823768.97241"/>
    <n v="164042828070.67502"/>
    <n v="170947179495.95364"/>
    <m/>
  </r>
  <r>
    <x v="200"/>
    <s v="ROU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6407350735.81816"/>
    <n v="101369603862.76317"/>
    <n v="92482299110.94104"/>
    <n v="93896200403.035599"/>
    <n v="97588145228.176941"/>
    <n v="103671313467.71837"/>
    <n v="107722479548.92094"/>
    <n v="102498948932.69655"/>
    <n v="100418412039.03618"/>
    <n v="100040175339.53798"/>
    <n v="102502427619.71655"/>
    <n v="107851143959.37666"/>
    <n v="114001885694.28146"/>
    <n v="116670837796.44531"/>
    <n v="128837404621.02002"/>
    <n v="134851725413.60022"/>
    <n v="145678715679.77316"/>
    <n v="156216833895.43448"/>
    <n v="170756664425.47363"/>
    <n v="161335345771.08237"/>
    <n v="155041272729.09702"/>
    <n v="162044621848.88855"/>
    <n v="165163969901.57343"/>
    <n v="165609852960.82529"/>
    <n v="172434096708.37125"/>
    <n v="177883883008.74738"/>
    <n v="182966996893.50256"/>
    <n v="197963898692.39838"/>
    <n v="209899179839.42758"/>
    <n v="217986939123.77597"/>
    <n v="209970445914.05338"/>
    <n v="221957437273.54196"/>
    <n v="231073289600.15057"/>
    <n v="236037846070.52167"/>
  </r>
  <r>
    <x v="201"/>
    <s v="RUS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n v="1197410924008.0508"/>
    <n v="1161488648465.8135"/>
    <n v="1102869019642.5737"/>
    <n v="942610308779.56152"/>
    <n v="860899753889.45898"/>
    <n v="752686755591.28174"/>
    <n v="721498966070.72559"/>
    <n v="694406178897.72473"/>
    <n v="704127280749.06812"/>
    <n v="666808805066.77722"/>
    <n v="709483999746.06812"/>
    <n v="780432873752.84192"/>
    <n v="820235350096.63989"/>
    <n v="858786345187.10938"/>
    <n v="921477339133.5564"/>
    <n v="987823227180.87573"/>
    <n v="1051043572407.7178"/>
    <n v="1137229862730.3501"/>
    <n v="1233894148246.7368"/>
    <n v="1298056264706.4734"/>
    <n v="1196807955075.782"/>
    <n v="1250664313044.698"/>
    <n v="1304443243520.4729"/>
    <n v="1356935163515.0227"/>
    <n v="1380755103919.4473"/>
    <n v="1390921151162.4626"/>
    <n v="1363482182197.7053"/>
    <n v="1366123111808.0288"/>
    <n v="1391065651845.6777"/>
    <n v="1430116278515.4929"/>
    <n v="1461551317106.208"/>
    <n v="1422766794794.989"/>
    <n v="1502645054025.0068"/>
    <n v="1471544636157.8418"/>
    <n v="1524520243059.5242"/>
  </r>
  <r>
    <x v="202"/>
    <s v="RWA"/>
    <s v="PIB (US$ a precios constantes de 2015)"/>
    <s v="NY.GDP.MKTP.KD"/>
    <n v="1013799804.6114773"/>
    <n v="970231493.94215262"/>
    <n v="1080195575.1721942"/>
    <n v="974115569.15787649"/>
    <n v="852692134.74160111"/>
    <n v="912461839.3819201"/>
    <n v="976415475.99584663"/>
    <n v="1043944541.2864891"/>
    <n v="1117164524.4177773"/>
    <n v="1240134958.7948749"/>
    <n v="1314560731.3031156"/>
    <n v="1330422756.1307387"/>
    <n v="1333922676.2156799"/>
    <n v="1379784113.5523717"/>
    <n v="1399236635.2511973"/>
    <n v="1369659215.5074921"/>
    <n v="1636805454.1964257"/>
    <n v="1669445146.9476647"/>
    <n v="1822213414.8509285"/>
    <n v="2038508471.4499426"/>
    <n v="2220987847.119709"/>
    <n v="2341725176.8877206"/>
    <n v="2384130224.0576391"/>
    <n v="2526709554.3495445"/>
    <n v="2419557530.766325"/>
    <n v="2526084559.6098924"/>
    <n v="2664315379.7672153"/>
    <n v="2663674982.0223894"/>
    <n v="2783509057.852706"/>
    <n v="2782492123.0492249"/>
    <n v="2715732037.2500625"/>
    <n v="2647448223.4838872"/>
    <n v="2802925583.5638566"/>
    <n v="2575644984.3210211"/>
    <n v="1281433164.1687713"/>
    <n v="1732806185.4480464"/>
    <n v="1953664390.0627069"/>
    <n v="2224242072.4460087"/>
    <n v="2421280326.3526773"/>
    <n v="2526651742.1519899"/>
    <n v="2738154857.1708751"/>
    <n v="2970475188.6630239"/>
    <n v="3362342413.9139261"/>
    <n v="3436394916.9921889"/>
    <n v="3692326599.100071"/>
    <n v="4038588908.4457598"/>
    <n v="4411232246.2333059"/>
    <n v="4747954146.5726271"/>
    <n v="5277885837.3044224"/>
    <n v="5607662143.80163"/>
    <n v="6018964803.652276"/>
    <n v="6497977220.9369869"/>
    <n v="7059500358.3080425"/>
    <n v="7392698103.4619827"/>
    <n v="7848617644.0374861"/>
    <n v="8543759088.5778284"/>
    <n v="9053884831.5172443"/>
    <n v="9408631037.0031757"/>
    <n v="10209914117.298672"/>
    <n v="11174484684.93796"/>
    <n v="10797491791.288372"/>
    <n v="11969879907.073282"/>
    <n v="12946350918.246275"/>
    <n v="14013296848.923515"/>
  </r>
  <r>
    <x v="203"/>
    <s v="SAS"/>
    <s v="PIB (US$ a precios constantes de 2015)"/>
    <s v="NY.GDP.MKTP.KD"/>
    <n v="188384865576.30359"/>
    <n v="196323078096.2312"/>
    <n v="203013742495.8356"/>
    <n v="213755867213.79526"/>
    <n v="230341410191.3924"/>
    <n v="229094484168.49249"/>
    <n v="231941618003.48447"/>
    <n v="246110619303.88477"/>
    <n v="257437137636.18359"/>
    <n v="272309855285.4068"/>
    <n v="288395692821.0025"/>
    <n v="290182184938.80737"/>
    <n v="285080392979.32593"/>
    <n v="296146603187.63678"/>
    <n v="303490042232.47577"/>
    <n v="324364425202.39917"/>
    <n v="332820432142.81549"/>
    <n v="353538047029.70477"/>
    <n v="375256936268.0921"/>
    <n v="365782094529.19568"/>
    <n v="389641207407.97137"/>
    <n v="414752677749.65466"/>
    <n v="430747123309.5946"/>
    <n v="459474310934.33685"/>
    <n v="479011839753.10901"/>
    <n v="505244771988.64789"/>
    <n v="529670424597.94299"/>
    <n v="552283459695.12817"/>
    <n v="598498157215.08289"/>
    <n v="630714525842.62207"/>
    <n v="664753654341.88623"/>
    <n v="678765301369.54309"/>
    <n v="718178938342.39172"/>
    <n v="748962171639.82629"/>
    <n v="793287429966.13574"/>
    <n v="847419806837.64221"/>
    <n v="904266037894.74915"/>
    <n v="937674838950.15015"/>
    <n v="988732770759.53809"/>
    <n v="1063012950911.1112"/>
    <n v="1106728825011.4841"/>
    <n v="1154972547449.8071"/>
    <n v="1197949946219.0144"/>
    <n v="1283915686115.46"/>
    <n v="1380834924638.552"/>
    <n v="1485954206720.8721"/>
    <n v="1599162055935.752"/>
    <n v="1713328891738.8699"/>
    <n v="1769836277485.2703"/>
    <n v="1892838131745.5356"/>
    <n v="2032264437265.9087"/>
    <n v="2135325077459.9792"/>
    <n v="2250233106684.2827"/>
    <n v="2385440649481.9819"/>
    <n v="2548791758156.1309"/>
    <n v="2733618963171.5859"/>
    <n v="2946191611624.6099"/>
    <n v="3137771875096.4048"/>
    <n v="3336540107818.0254"/>
    <n v="3467476713350.9253"/>
    <n v="3308572896242.9897"/>
    <n v="3598530287648.1685"/>
    <n v="3825677137194.7095"/>
    <n v="4068716856200.5288"/>
  </r>
  <r>
    <x v="204"/>
    <s v="SAU"/>
    <s v="PIB (US$ a precios constantes de 2015)"/>
    <s v="NY.GDP.MKTP.KD"/>
    <n v="36920790347.617516"/>
    <n v="41305817634.143608"/>
    <n v="46230569651.78614"/>
    <n v="50250830489.104996"/>
    <n v="54661237521.982124"/>
    <n v="61295342905.976463"/>
    <n v="66310004053.141762"/>
    <n v="72217816501.104202"/>
    <n v="77749792619.062653"/>
    <n v="82444236883.687393"/>
    <n v="125803387608.44109"/>
    <n v="151608459711.91287"/>
    <n v="186373184700.91705"/>
    <n v="231420706263.7352"/>
    <n v="268975522543.81308"/>
    <n v="244959798946.22723"/>
    <n v="288614031298.43756"/>
    <n v="309086455082.43982"/>
    <n v="292953208697.07532"/>
    <n v="327871358836.50726"/>
    <n v="346404320459.34869"/>
    <n v="353134710607.90863"/>
    <n v="279930306509.02234"/>
    <n v="234997568528.1926"/>
    <n v="224043232062.32834"/>
    <n v="202099340932.14957"/>
    <n v="236482147605.17715"/>
    <n v="220797429813.29013"/>
    <n v="249742448195.74417"/>
    <n v="248486093784.70148"/>
    <n v="286239823523.62482"/>
    <n v="329198418144.0575"/>
    <n v="342325140180.14673"/>
    <n v="337656827013.27325"/>
    <n v="339543484251.72595"/>
    <n v="340263510697.8053"/>
    <n v="349237662562.11523"/>
    <n v="353092421919.80774"/>
    <n v="363308608216.12085"/>
    <n v="349636384478.49603"/>
    <n v="369304875689.23444"/>
    <n v="364833462234.15393"/>
    <n v="354548137289.04083"/>
    <n v="394406680197.09662"/>
    <n v="425795403002.63947"/>
    <n v="449528530763.86786"/>
    <n v="462063211166.54327"/>
    <n v="470598142423.7514"/>
    <n v="500009365623.80981"/>
    <n v="489712853195.07208"/>
    <n v="514391969511.63342"/>
    <n v="570942996722.73315"/>
    <n v="601824824266.48132"/>
    <n v="617079749143.71704"/>
    <n v="640599267343.86121"/>
    <n v="669484266666.66663"/>
    <n v="682100649038.50281"/>
    <n v="688314917831.27234"/>
    <n v="710335673015.19324"/>
    <n v="718133267432.90967"/>
    <n v="692413074096.44873"/>
    <n v="727553801683.8385"/>
    <n v="782018364988.94763"/>
    <n v="776114792530.15405"/>
  </r>
  <r>
    <x v="205"/>
    <s v="SDN"/>
    <s v="PIB (US$ a precios constantes de 2015)"/>
    <s v="NY.GDP.MKTP.KD"/>
    <n v="9621210052.5190849"/>
    <n v="9623364369.7652111"/>
    <n v="10288901059.519304"/>
    <n v="9995978960.0979786"/>
    <n v="9883979102.0181999"/>
    <n v="10553823687.089163"/>
    <n v="10176508924.972319"/>
    <n v="10321430683.833523"/>
    <n v="10524063160.25625"/>
    <n v="10670279283.393997"/>
    <n v="11302501303.346071"/>
    <n v="11556504008.763218"/>
    <n v="10970475253.022522"/>
    <n v="11039830076.456827"/>
    <n v="12303370549.510099"/>
    <n v="14236656553.065477"/>
    <n v="16609226650.723455"/>
    <n v="17642960631.778214"/>
    <n v="16596558979.43722"/>
    <n v="15763644181.768991"/>
    <n v="16003931009.69474"/>
    <n v="17194233566.023602"/>
    <n v="18218780589.860435"/>
    <n v="18594543248.293793"/>
    <n v="17663159912.908901"/>
    <n v="16553729141.041412"/>
    <n v="17449916752.159245"/>
    <n v="19931449275.931129"/>
    <n v="19865457878.082115"/>
    <n v="21639720129.073139"/>
    <n v="20456015800.948616"/>
    <n v="21992448809.689491"/>
    <n v="23439081607.557076"/>
    <n v="24509954458.539631"/>
    <n v="24756580788.944347"/>
    <n v="26241255779.405643"/>
    <n v="27794508186.037395"/>
    <n v="32884421186.41077"/>
    <n v="34301247872.541729"/>
    <n v="35365991403.813889"/>
    <n v="37610270337.133034"/>
    <n v="40055073506.847015"/>
    <n v="42460970095.885109"/>
    <n v="45131259048.71241"/>
    <n v="47451406763.008049"/>
    <n v="50129334265.022179"/>
    <n v="53403487491.790047"/>
    <n v="56466323951.376534"/>
    <n v="58638439292.884407"/>
    <n v="57015500648.426041"/>
    <n v="59215296613.758102"/>
    <n v="57312394053.385956"/>
    <n v="47566600027.222412"/>
    <n v="48496595854.766747"/>
    <n v="50757206252.652138"/>
    <n v="51726758676.767677"/>
    <n v="53520457581.107193"/>
    <n v="53900054790.136948"/>
    <n v="52455031754.909286"/>
    <n v="51312429477.39505"/>
    <n v="49449890489.354973"/>
    <n v="48525909156.878418"/>
    <n v="48061119947.982414"/>
    <n v="42271302948.337692"/>
  </r>
  <r>
    <x v="206"/>
    <s v="SEN"/>
    <s v="PIB (US$ a precios constantes de 2015)"/>
    <s v="NY.GDP.MKTP.KD"/>
    <n v="3845391101.7709384"/>
    <n v="3960500894.6536517"/>
    <n v="3955105291.9797339"/>
    <n v="4028847382.5416131"/>
    <n v="4185324877.9161148"/>
    <n v="4241081336.1232948"/>
    <n v="4363087108.930294"/>
    <n v="4309866483.6693954"/>
    <n v="4580990423.658392"/>
    <n v="4280745764.0257397"/>
    <n v="4647265164.7041483"/>
    <n v="4640738106.8117199"/>
    <n v="4936966115.3941956"/>
    <n v="4661323443.1233349"/>
    <n v="4857135177.5028486"/>
    <n v="5223152496.4367085"/>
    <n v="5689084008.3418436"/>
    <n v="5536451271.6832647"/>
    <n v="5317543794.1498833"/>
    <n v="5689861492.9618368"/>
    <n v="5916759625.8197441"/>
    <n v="6223261363.4603624"/>
    <n v="6721768519.1068726"/>
    <n v="6342159311.7999449"/>
    <n v="6591776709.8004646"/>
    <n v="6820055505.0150681"/>
    <n v="7033317655.0887613"/>
    <n v="7473312400.5453176"/>
    <n v="7412287163.3226004"/>
    <n v="7706835393.8661661"/>
    <n v="7649320651.2693567"/>
    <n v="7852789724.1374331"/>
    <n v="7956464848.3712912"/>
    <n v="8064689718.0975084"/>
    <n v="8060857301.0368423"/>
    <n v="8501672122.8421526"/>
    <n v="8673403962.0684738"/>
    <n v="8937561242.8943195"/>
    <n v="9464741444.3125019"/>
    <n v="10059440324.353487"/>
    <n v="10450471990.97212"/>
    <n v="10900976316.018057"/>
    <n v="10908464913.360588"/>
    <n v="11518679089.418674"/>
    <n v="12053525217.180916"/>
    <n v="12573060904.880745"/>
    <n v="12866110160.164642"/>
    <n v="13229850430.967407"/>
    <n v="13719774159.329067"/>
    <n v="14097356679.238167"/>
    <n v="14575382431.882576"/>
    <n v="14769831308.72574"/>
    <n v="15361066998.890142"/>
    <n v="15731635117.416431"/>
    <n v="16710783797.424799"/>
    <n v="17774766696.175896"/>
    <n v="18904543055.865643"/>
    <n v="20304894471.312271"/>
    <n v="21565674310.71323"/>
    <n v="22560634320.127007"/>
    <n v="22863414676.284946"/>
    <n v="24359596784.056461"/>
    <n v="25290585507.82299"/>
    <n v="26226336251.166821"/>
  </r>
  <r>
    <x v="207"/>
    <s v="SGP"/>
    <s v="PIB (US$ a precios constantes de 2015)"/>
    <s v="NY.GDP.MKTP.KD"/>
    <n v="5946720491.6989403"/>
    <n v="6430636626.4797306"/>
    <n v="6916371174.5131168"/>
    <n v="7610786827.4143944"/>
    <n v="7374611314.1672535"/>
    <n v="7952357572.7819862"/>
    <n v="8761915152.8376293"/>
    <n v="9857909188.4421597"/>
    <n v="11191387994.835699"/>
    <n v="12739585038.095751"/>
    <n v="14515738366.701208"/>
    <n v="16317640426.963423"/>
    <n v="18490426054.225075"/>
    <n v="20450966486.643745"/>
    <n v="21702034804.429646"/>
    <n v="22567672249.195339"/>
    <n v="24246067681.341248"/>
    <n v="25907515501.972965"/>
    <n v="27922390122.3792"/>
    <n v="30590220573.527531"/>
    <n v="33683923408.433792"/>
    <n v="37327150728.274498"/>
    <n v="39978179040.968834"/>
    <n v="43398105213.390778"/>
    <n v="47213790846.107666"/>
    <n v="46919789791.427979"/>
    <n v="47549833615.18737"/>
    <n v="52684232538.686722"/>
    <n v="58618369610.677696"/>
    <n v="64573309330.278374"/>
    <n v="70914989180.441116"/>
    <n v="75658065571.981857"/>
    <n v="80681614023.602966"/>
    <n v="89927445311.22139"/>
    <n v="99905515247.395081"/>
    <n v="107074136708.30829"/>
    <n v="115074063971.77818"/>
    <n v="124643863764.47908"/>
    <n v="121912898005.20062"/>
    <n v="128884330733.00235"/>
    <n v="140533304238.72125"/>
    <n v="139028385430.87299"/>
    <n v="144482970559.8894"/>
    <n v="151054425108.65015"/>
    <n v="166069208808.39377"/>
    <n v="178302402123.90665"/>
    <n v="194361682395.94128"/>
    <n v="211896059498.4816"/>
    <n v="215844707508.2283"/>
    <n v="216120888113.03256"/>
    <n v="247501100140.01782"/>
    <n v="262883130580.25568"/>
    <n v="274543305511.61057"/>
    <n v="287769788882.22137"/>
    <n v="299095084828.97827"/>
    <n v="307998545269.39795"/>
    <n v="319051515647.44604"/>
    <n v="333450075464.14996"/>
    <n v="345177895368.5014"/>
    <n v="349820740821.55908"/>
    <n v="336283381521.28448"/>
    <n v="368871820049.82452"/>
    <n v="383029403742.29443"/>
    <n v="387147091448.00244"/>
  </r>
  <r>
    <x v="208"/>
    <s v="SLB"/>
    <s v="PIB (US$ a precios constantes de 2015)"/>
    <s v="NY.GDP.MKTP.KD"/>
    <m/>
    <m/>
    <m/>
    <m/>
    <m/>
    <m/>
    <m/>
    <m/>
    <m/>
    <m/>
    <m/>
    <m/>
    <m/>
    <m/>
    <m/>
    <m/>
    <m/>
    <m/>
    <m/>
    <m/>
    <n v="526656505.870377"/>
    <n v="517192386.45348549"/>
    <n v="508557520.48625904"/>
    <n v="528343416.82339072"/>
    <n v="529242658.9202857"/>
    <n v="512665069.90298885"/>
    <n v="511632407.82618576"/>
    <n v="554718559.87650239"/>
    <n v="561653630.9166609"/>
    <n v="585603983.63671255"/>
    <n v="598487271.2775737"/>
    <n v="634396516.85078645"/>
    <n v="714964863.37773156"/>
    <n v="743563454.58722353"/>
    <n v="803792103.52652287"/>
    <n v="884883597.38040197"/>
    <n v="899129405.97232914"/>
    <n v="890910669.18031442"/>
    <n v="902416889.60374391"/>
    <n v="898033573.47627795"/>
    <n v="769821323.86241269"/>
    <n v="708569673.44762576"/>
    <n v="688729843.86527252"/>
    <n v="733658906.91967785"/>
    <n v="790028121.46561611"/>
    <n v="848157141.8737309"/>
    <n v="883256261.94375587"/>
    <n v="915403896.59139037"/>
    <n v="972396664.39558017"/>
    <n v="1000248709.9308151"/>
    <n v="1097356737.3491867"/>
    <n v="1178889790.0503423"/>
    <n v="1207961228.6239357"/>
    <n v="1271231099.2278576"/>
    <n v="1286348801.5556891"/>
    <n v="1307909887.5521197"/>
    <n v="1380560770.5079591"/>
    <n v="1423017819.025352"/>
    <n v="1462093823.2091143"/>
    <n v="1487659506.7974269"/>
    <n v="1437359543.9651368"/>
    <n v="1474218469.8973384"/>
    <n v="1509636294.9660254"/>
    <n v="1554171854.3442566"/>
  </r>
  <r>
    <x v="209"/>
    <s v="SLE"/>
    <s v="PIB (US$ a precios constantes de 2015)"/>
    <s v="NY.GDP.MKTP.KD"/>
    <n v="1144714146.7689281"/>
    <n v="1165422524.2076483"/>
    <n v="1218343977.1915736"/>
    <n v="1239052354.6302886"/>
    <n v="1321885963.2769566"/>
    <n v="1416799434.8265436"/>
    <n v="1440885025.1903749"/>
    <n v="1441407800.6590791"/>
    <n v="1470523140.3551385"/>
    <n v="1595891808.3927698"/>
    <n v="1733465553.8484657"/>
    <n v="1793546022.367238"/>
    <n v="1809692145.1291547"/>
    <n v="1850529988.3426504"/>
    <n v="1915295360.945343"/>
    <n v="1947265787.5910935"/>
    <n v="1938519130.3664794"/>
    <n v="1939423949.8694961"/>
    <n v="1986092932.2141771"/>
    <n v="2075690859.5977602"/>
    <n v="2176227024.3513794"/>
    <n v="2238933451.4706621"/>
    <n v="2345993775.7035985"/>
    <n v="2296662180.6433406"/>
    <n v="2390665350.6938424"/>
    <n v="2263688973.7393923"/>
    <n v="2291669231.3669543"/>
    <n v="2457385991.9205155"/>
    <n v="2283403063.7042842"/>
    <n v="2300071906.0395474"/>
    <n v="2377124268.5195975"/>
    <n v="2433033313.9603076"/>
    <n v="1970442881.9674823"/>
    <n v="1997527606.3919873"/>
    <n v="1958628050.8444788"/>
    <n v="1801942657.7783163"/>
    <n v="1833545490.3846381"/>
    <n v="1725786540.6145084"/>
    <n v="1756592051.1796384"/>
    <n v="1721824055.281359"/>
    <n v="1836372354.889627"/>
    <n v="1719846166.0722079"/>
    <n v="2176020483.0329947"/>
    <n v="2382386246.6962876"/>
    <n v="2536737383.1375251"/>
    <n v="2647174243.8411069"/>
    <n v="2760555640.3691273"/>
    <n v="2980753164.6151791"/>
    <n v="3142783718.5567336"/>
    <n v="3243649211.1537795"/>
    <n v="3458946182.9169002"/>
    <n v="3666823004.4849997"/>
    <n v="4224244207.2602758"/>
    <n v="5114673242.0155249"/>
    <n v="5347864162.4884062"/>
    <n v="4252029353.8219075"/>
    <n v="4521894085.0934114"/>
    <n v="4691637090.5934877"/>
    <n v="4854573078.0394468"/>
    <n v="5109620032.1424103"/>
    <n v="5009037831.6202641"/>
    <n v="5214643811.94487"/>
    <n v="5394942200.0731277"/>
    <n v="5580033029.2211046"/>
  </r>
  <r>
    <x v="210"/>
    <s v="SLV"/>
    <s v="PIB (US$ a precios constantes de 2015)"/>
    <s v="NY.GDP.MKTP.KD"/>
    <m/>
    <m/>
    <m/>
    <m/>
    <m/>
    <n v="8436981023.8370209"/>
    <n v="9041164856.0279312"/>
    <n v="9532719323.6458454"/>
    <n v="9841264123.9887047"/>
    <n v="10184273395.489271"/>
    <n v="10487489267.531849"/>
    <n v="10892123610.173183"/>
    <n v="11558452941.273371"/>
    <n v="12120387185.401579"/>
    <n v="12767131179.758862"/>
    <n v="13140382331.048328"/>
    <n v="13803874422.769676"/>
    <n v="14739785629.523382"/>
    <n v="15524349903.123783"/>
    <n v="14875390870.383762"/>
    <n v="12519595404.910215"/>
    <n v="11803350547.225191"/>
    <n v="11058739556.562542"/>
    <n v="11228936354.428291"/>
    <n v="11378871628.738592"/>
    <n v="11448773885.004883"/>
    <n v="11471061560.915873"/>
    <n v="11758775195.403208"/>
    <n v="11979625802.157572"/>
    <n v="12095116486.423615"/>
    <n v="12679661440.99824"/>
    <n v="12869106686.241661"/>
    <n v="13772770636.814562"/>
    <n v="14574113893.432459"/>
    <n v="15257940313.428768"/>
    <n v="15980263628.180426"/>
    <n v="16109937378.935282"/>
    <n v="16615462391.643665"/>
    <n v="17056150528.974619"/>
    <n v="17424910257.683739"/>
    <n v="17621447036.171566"/>
    <n v="17776447691.370728"/>
    <n v="18056056716.435886"/>
    <n v="18338704970.034359"/>
    <n v="18501810234.655701"/>
    <n v="18997812331.293026"/>
    <n v="19821747186.675247"/>
    <n v="20187974224.939934"/>
    <n v="20622904543.814522"/>
    <n v="20188015254.525135"/>
    <n v="20622904543.814518"/>
    <n v="21401127375.903294"/>
    <n v="22019127752.9422"/>
    <n v="22499794814.168968"/>
    <n v="22888906230.213356"/>
    <n v="23438240000"/>
    <n v="24033351541.724026"/>
    <n v="24573529736.861671"/>
    <n v="25166352435.577255"/>
    <n v="25779775126.599277"/>
    <n v="23744951345.511013"/>
    <n v="26571731219.353931"/>
    <n v="27315620697.162769"/>
    <n v="28274665875.30024"/>
  </r>
  <r>
    <x v="211"/>
    <s v="SMR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48965743.564326"/>
    <n v="1342208765.6771834"/>
    <n v="1463670070.7978792"/>
    <n v="1495568999.4154358"/>
    <n v="1578996966.5690451"/>
    <n v="1583904494.0486691"/>
    <n v="1645248587.5439701"/>
    <n v="1720088381.6082373"/>
    <n v="1761802365.1850417"/>
    <n v="1829280868.0298729"/>
    <n v="1959330346.2399106"/>
    <n v="1949515291.2806625"/>
    <n v="1748306664.6160758"/>
    <n v="1652609878.7634063"/>
    <n v="1515199109.3339322"/>
    <n v="1408460386.6521087"/>
    <n v="1397418449.8229544"/>
    <n v="1387603394.8637061"/>
    <n v="1419400403.8278778"/>
    <n v="1452676910.1297214"/>
    <n v="1456428672.9285338"/>
    <n v="1478186338.327744"/>
    <n v="1508721013.9342492"/>
    <n v="1408422586.4216962"/>
    <n v="1527618401.7817545"/>
    <m/>
    <m/>
  </r>
  <r>
    <x v="212"/>
    <s v="SOM"/>
    <s v="PIB (US$ a precios constantes de 2015)"/>
    <s v="NY.GDP.MKTP.KD"/>
    <n v="1209125245.4935393"/>
    <n v="1169683807.2727814"/>
    <n v="1252458299.9827428"/>
    <n v="1287637380.9020131"/>
    <n v="1208954710.6944032"/>
    <n v="1137098293.301682"/>
    <n v="1240558940.6965959"/>
    <n v="1314259847.8942409"/>
    <n v="1340939024.7959228"/>
    <n v="1318148831.2026055"/>
    <n v="1378538606.1718349"/>
    <n v="1408016790.2030826"/>
    <n v="1617543098.2690647"/>
    <n v="1421021871.3934331"/>
    <n v="1431714938.1499596"/>
    <n v="1642108251.6285756"/>
    <n v="1611763062.184505"/>
    <n v="1831693435.202615"/>
    <n v="1937921005.064045"/>
    <n v="1841277877.5962107"/>
    <n v="1874290956.9516058"/>
    <n v="1991700376.2719691"/>
    <n v="2046810920.0345988"/>
    <n v="1809862205.3063874"/>
    <n v="1868966266.7329395"/>
    <n v="2047077154.5455096"/>
    <n v="2003148460.242002"/>
    <n v="2205220454.0383368"/>
    <n v="2280534195.3290176"/>
    <n v="2367369290.1793432"/>
    <n v="2422456327.9030676"/>
    <n v="2493932618.0317812"/>
    <n v="2282239550.0089874"/>
    <n v="2373314519.758235"/>
    <n v="1949749326.8924294"/>
    <n v="2027555953.7054133"/>
    <n v="2190693410.8888741"/>
    <n v="2216554367.9854488"/>
    <n v="2362547571.8914499"/>
    <n v="2535445784.6277871"/>
    <n v="2715723949.106895"/>
    <n v="2908820457.7150254"/>
    <n v="3130771233.722991"/>
    <n v="3369657447.2001348"/>
    <n v="3609250682.9093175"/>
    <n v="3865879750.7461081"/>
    <n v="4116635043.462451"/>
    <n v="4392217080.7646732"/>
    <n v="4686247549.4874601"/>
    <n v="4999961452.5551949"/>
    <n v="5334676468.3337879"/>
    <n v="5691798485.2163525"/>
    <n v="6072827506.7128096"/>
    <n v="5908339719.8999224"/>
    <n v="6353024504.9469833"/>
    <n v="6984947145.0950785"/>
    <n v="7433280909.3446112"/>
    <n v="8139984229.6634111"/>
    <n v="8383289630.6971703"/>
    <n v="8687636316.0908966"/>
    <n v="8464964588.6404934"/>
    <n v="8745238654.8520374"/>
    <n v="8958453281.9056664"/>
    <n v="9236430682.6861134"/>
  </r>
  <r>
    <x v="213"/>
    <s v="SRB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207996311.049133"/>
    <n v="22536482726.882763"/>
    <n v="24160772639.453983"/>
    <n v="24967954422.065506"/>
    <n v="22614934047.596558"/>
    <n v="24001639533.716236"/>
    <n v="25652658257.163704"/>
    <n v="27289401825.221931"/>
    <n v="28486794470.34169"/>
    <n v="31058638373.681801"/>
    <n v="32776288886.943623"/>
    <n v="34450432939.371941"/>
    <n v="36668877372.022278"/>
    <n v="38742713828.074577"/>
    <n v="37684358972.414886"/>
    <n v="37959848425.843147"/>
    <n v="38732815970.381783"/>
    <n v="38468835418.707176"/>
    <n v="39581599083.000702"/>
    <n v="38952445480.793945"/>
    <n v="39655949731.381615"/>
    <n v="40979898020.819046"/>
    <n v="41840952822.738968"/>
    <n v="43721754402.168709"/>
    <n v="45615664899.159256"/>
    <n v="45203655774.198341"/>
    <n v="48696066612.490364"/>
    <n v="49937794675.513161"/>
    <n v="51200118921.335686"/>
  </r>
  <r>
    <x v="214"/>
    <s v="SSA"/>
    <s v="PIB (US$ a precios constantes de 2015)"/>
    <s v="NY.GDP.MKTP.KD"/>
    <n v="259562209145.1499"/>
    <n v="262414563242.48956"/>
    <n v="278195056151.99768"/>
    <n v="295667751243.72064"/>
    <n v="310427256274.57574"/>
    <n v="324971158290.11633"/>
    <n v="331571158713.08917"/>
    <n v="329052579271.01624"/>
    <n v="339362690232.43817"/>
    <n v="369969302967.73651"/>
    <n v="398993620534.75958"/>
    <n v="429945881979.06549"/>
    <n v="442693208369.13477"/>
    <n v="461817053758.63715"/>
    <n v="496818708193.59595"/>
    <n v="495524948885.42572"/>
    <n v="521183369495.28162"/>
    <n v="535700864773.00696"/>
    <n v="534767561470.22205"/>
    <n v="555854109107.82104"/>
    <n v="576786385642.78699"/>
    <n v="572093562883.21545"/>
    <n v="565230683348.89063"/>
    <n v="550643003942.66956"/>
    <n v="563008665174.10059"/>
    <n v="574275325488.33423"/>
    <n v="585206321330.51855"/>
    <n v="602470767775.89417"/>
    <n v="629269308066.16614"/>
    <n v="643788284237.98132"/>
    <n v="658914224681.59741"/>
    <n v="661203349451.10974"/>
    <n v="658510343710.38843"/>
    <n v="652574559950.44751"/>
    <n v="658998773500.8728"/>
    <n v="680890471681.54675"/>
    <n v="715791146080.13013"/>
    <n v="744948487514.22632"/>
    <n v="763589864771.40674"/>
    <n v="780427095973.23071"/>
    <n v="807564140405.56763"/>
    <n v="841531851441.21008"/>
    <n v="894858897836.22266"/>
    <n v="931196355930.71997"/>
    <n v="992758503703.6084"/>
    <n v="1052485366787.5646"/>
    <n v="1116190573634.626"/>
    <n v="1184944689558.8723"/>
    <n v="1246526402464.8"/>
    <n v="1286233324498.9722"/>
    <n v="1363366143311.5803"/>
    <n v="1423494321909.2715"/>
    <n v="1469877089795.3159"/>
    <n v="1544748197524.6365"/>
    <n v="1619999378048.5918"/>
    <n v="1667230590352.5269"/>
    <n v="1687782433215.8853"/>
    <n v="1729639944999.2024"/>
    <n v="1777253433381.3213"/>
    <n v="1824472390380.7092"/>
    <n v="1788772808935.8391"/>
    <n v="1865125161604.5598"/>
    <n v="1933208226297.0547"/>
    <n v="1990332366411.5515"/>
  </r>
  <r>
    <x v="215"/>
    <s v="SSD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185217785.810913"/>
    <n v="21202884179.235943"/>
    <n v="22367646895.014446"/>
    <n v="21329717232.693787"/>
    <n v="11500530835.431532"/>
    <n v="13010519613.876341"/>
    <n v="13449448810.700138"/>
    <n v="11997800760.224182"/>
    <m/>
    <m/>
    <m/>
    <m/>
    <m/>
    <m/>
    <m/>
    <m/>
  </r>
  <r>
    <x v="216"/>
    <s v="SSF"/>
    <s v="PIB (US$ a precios constantes de 2015)"/>
    <s v="NY.GDP.MKTP.KD"/>
    <n v="259688666546.10873"/>
    <n v="262533459180.58328"/>
    <n v="278324420664.27844"/>
    <n v="295811031504.77875"/>
    <n v="310579223172.71985"/>
    <n v="325120176468.49274"/>
    <n v="331743775646.62976"/>
    <n v="329226379613.23694"/>
    <n v="339550642706.37323"/>
    <n v="370155099296.03784"/>
    <n v="399196168091.24359"/>
    <n v="430182672532.45282"/>
    <n v="442945886983.4845"/>
    <n v="462093996296.30762"/>
    <n v="497097342175.29846"/>
    <n v="495813565637.61871"/>
    <n v="521522603376.90265"/>
    <n v="536016005862.15814"/>
    <n v="535156914859.22076"/>
    <n v="556309149232.56213"/>
    <n v="577214956566.79492"/>
    <n v="572505116931.91675"/>
    <n v="565633600338.03589"/>
    <n v="551043617464.97925"/>
    <n v="563426710906.44067"/>
    <n v="574737158248.35132"/>
    <n v="585671567075.36975"/>
    <n v="602958874158.5293"/>
    <n v="629783498509.13708"/>
    <n v="644356173856.86389"/>
    <n v="659524980276.20178"/>
    <n v="661831221443.65369"/>
    <n v="659184063201.12317"/>
    <n v="653298256792.22778"/>
    <n v="659704517521.88733"/>
    <n v="681599371303.87073"/>
    <n v="716571395804.67468"/>
    <n v="745824709801.95068"/>
    <n v="764487703603.08069"/>
    <n v="781341706008.24646"/>
    <n v="808517737277.38196"/>
    <n v="842463042074.14856"/>
    <n v="895800765230.39099"/>
    <n v="932081500585.36487"/>
    <n v="993617156992.62378"/>
    <n v="1053421773024.954"/>
    <n v="1117215564462.2979"/>
    <n v="1186061093106.24"/>
    <n v="1247611030059.3354"/>
    <n v="1287291060097.8115"/>
    <n v="1364471531295.8147"/>
    <n v="1424704829896.0022"/>
    <n v="1471125252793.6577"/>
    <n v="1546012009178.8772"/>
    <n v="1621314547113.5488"/>
    <n v="1668662993704.6563"/>
    <n v="1689388408434.4724"/>
    <n v="1731357602339.189"/>
    <n v="1779055933937.085"/>
    <n v="1826374286081.7476"/>
    <n v="1790451424728.4783"/>
    <n v="1866813048083.8804"/>
    <n v="1935148905025.0413"/>
    <n v="1992334403857.4634"/>
  </r>
  <r>
    <x v="217"/>
    <s v="SST"/>
    <s v="PIB (US$ a precios constantes de 2015)"/>
    <s v="NY.GDP.MKTP.KD"/>
    <m/>
    <m/>
    <m/>
    <m/>
    <m/>
    <m/>
    <m/>
    <m/>
    <m/>
    <m/>
    <m/>
    <m/>
    <m/>
    <m/>
    <n v="52853952321.484314"/>
    <n v="52146526983.584625"/>
    <n v="58865748958.462852"/>
    <n v="64137708491.417107"/>
    <n v="68130540394.536728"/>
    <n v="75104602063.487717"/>
    <n v="75581364426.748154"/>
    <n v="73131225646.502213"/>
    <n v="73331418612.374268"/>
    <n v="74298760272.644714"/>
    <n v="77934892030.783325"/>
    <n v="79345258048.236832"/>
    <n v="81915366085.347443"/>
    <n v="85912387844.497833"/>
    <n v="89495599462.349899"/>
    <n v="92721276374.334061"/>
    <n v="95656115749.304367"/>
    <n v="96122873095.804993"/>
    <n v="95955307913.736267"/>
    <n v="98033381697.169647"/>
    <n v="100889644668.0014"/>
    <n v="105263144941.83791"/>
    <n v="109333492114.28664"/>
    <n v="113808873902.87312"/>
    <n v="118635862577.51942"/>
    <n v="122275815343.75679"/>
    <n v="129396188896.46216"/>
    <n v="132891242344.2247"/>
    <n v="137000517876.73972"/>
    <n v="142263904994.21362"/>
    <n v="148613457539.41196"/>
    <n v="155286518055.17175"/>
    <n v="164332265594.17023"/>
    <n v="173348536841.91568"/>
    <n v="176419419542.56409"/>
    <n v="170632765214.0929"/>
    <n v="174782022884.58444"/>
    <n v="179678321916.12527"/>
    <n v="182790432460.01654"/>
    <n v="185471333525.92551"/>
    <n v="189833392629.10135"/>
    <n v="195342695295.02689"/>
    <n v="201752893731.46729"/>
    <n v="210312982992.74704"/>
    <n v="218163909426.12064"/>
    <n v="225637089079.73343"/>
    <n v="210996021397.69659"/>
    <n v="225315297146.54608"/>
    <n v="242632093792.12454"/>
    <n v="253624843042.83075"/>
  </r>
  <r>
    <x v="218"/>
    <s v="STP"/>
    <s v="PIB (US$ a precios constantes de 2015)"/>
    <s v="NY.GDP.MKTP.KD"/>
    <m/>
    <m/>
    <m/>
    <m/>
    <m/>
    <m/>
    <m/>
    <m/>
    <m/>
    <m/>
    <n v="76468736.232512906"/>
    <n v="80579183.16043061"/>
    <n v="82425278.632962406"/>
    <n v="83737737.146072343"/>
    <n v="88497202.086237416"/>
    <n v="93256666.950143084"/>
    <n v="94785464.775248259"/>
    <n v="116981878.36903144"/>
    <n v="120371194.3078039"/>
    <n v="140043649.28705725"/>
    <n v="138529274.1030876"/>
    <n v="124241500.18851508"/>
    <n v="128084020.95677432"/>
    <n v="123122082.49349572"/>
    <n v="115697254.53752713"/>
    <n v="126456967.38279136"/>
    <n v="119081846.68841515"/>
    <n v="115592613.44271295"/>
    <n v="117902997.63641416"/>
    <n v="121599628.7575383"/>
    <n v="118982019.52108632"/>
    <n v="120410996.81350361"/>
    <n v="121253873.76366837"/>
    <n v="122587666.38322876"/>
    <n v="125284595.03649165"/>
    <n v="127790286.96009925"/>
    <n v="129707141.25649372"/>
    <n v="130999446.17162746"/>
    <n v="134274411.33338144"/>
    <n v="137631279.45626888"/>
    <n v="138248374.55184427"/>
    <n v="142484974.90120131"/>
    <n v="147272738.16932553"/>
    <n v="159483885.9156746"/>
    <n v="165126275.7945191"/>
    <n v="176048759.30253142"/>
    <n v="191657434.8282316"/>
    <n v="198636586.36911571"/>
    <n v="211009232.40365857"/>
    <n v="217977631.13848147"/>
    <n v="221134893.27046588"/>
    <n v="225556373.80825719"/>
    <n v="232194322.31703642"/>
    <n v="244081977.0861499"/>
    <n v="256057151.14323339"/>
    <n v="259999643.04738805"/>
    <n v="273459361.11742795"/>
    <n v="284706658.79262513"/>
    <n v="297171513.19391745"/>
    <n v="303157496.46587336"/>
    <n v="311114954.79799032"/>
    <n v="317023957.75382602"/>
    <n v="317230918.72276026"/>
    <n v="315725838.98856896"/>
  </r>
  <r>
    <x v="219"/>
    <s v="SUR"/>
    <s v="PIB (US$ a precios constantes de 2015)"/>
    <s v="NY.GDP.MKTP.KD"/>
    <n v="1039858389.1260114"/>
    <n v="1089771591.7881379"/>
    <n v="1132272683.8758364"/>
    <n v="1195679954.1775661"/>
    <n v="1273399151.1903274"/>
    <n v="1426207049.3261425"/>
    <n v="1700038802.8157275"/>
    <n v="1905743497.9469769"/>
    <n v="2050580003.7873182"/>
    <n v="2142856103.9457474"/>
    <n v="2200713218.7596874"/>
    <n v="2286541034.288681"/>
    <n v="2272821788.0759244"/>
    <n v="2231910995.8916116"/>
    <n v="2240838639.8791585"/>
    <n v="2303582121.8163795"/>
    <n v="2506297348.5270886"/>
    <n v="2761939678.0839353"/>
    <n v="2944227696.758275"/>
    <n v="2926562330.6573353"/>
    <n v="2669024845.5585532"/>
    <n v="2858525609.5779905"/>
    <n v="2738467533.9739003"/>
    <n v="2631667300.1495333"/>
    <n v="2581665621.4375019"/>
    <n v="2633298933.8732758"/>
    <n v="2654365325.3594813"/>
    <n v="2489794675.190764"/>
    <n v="2683998659.8342781"/>
    <n v="2796726603.5583806"/>
    <n v="2670873906.3830342"/>
    <n v="2742987478.7329297"/>
    <n v="2753959428.8820076"/>
    <n v="2569444198.1030059"/>
    <n v="2656805272.5068035"/>
    <n v="2656805272.5068035"/>
    <n v="2683373357.7196732"/>
    <n v="2836325576.9438472"/>
    <n v="2901561112.0428195"/>
    <n v="2860939242.835197"/>
    <n v="2921018934.534739"/>
    <n v="3043701742.0778794"/>
    <n v="3128925411.8121557"/>
    <n v="3326047695.0197377"/>
    <n v="3608761755.2427564"/>
    <n v="3771156041.8384356"/>
    <n v="3989639610.7668676"/>
    <n v="4193569551.8468738"/>
    <n v="4367326198.3096399"/>
    <n v="4498944263.5176334"/>
    <n v="4731486826.1964073"/>
    <n v="5008248887.0001087"/>
    <n v="5142988298.2450438"/>
    <n v="5293854859.1361113"/>
    <n v="5307380818.7921152"/>
    <n v="5126237646.2207174"/>
    <n v="4874454256.1508036"/>
    <n v="4950790053.5814581"/>
    <n v="5195768566.2664814"/>
    <n v="5256433828.6406021"/>
    <n v="4416708447.1503954"/>
    <n v="4309144555.205409"/>
    <n v="4414017227.9007578"/>
    <n v="4505628350.6704035"/>
  </r>
  <r>
    <x v="220"/>
    <s v="SVK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305313950.786301"/>
    <n v="37848345023.45076"/>
    <n v="35304372873.384743"/>
    <n v="35975624843.674202"/>
    <n v="38208103468.72303"/>
    <n v="40440791791.708191"/>
    <n v="43117931007.445686"/>
    <n v="45673029352.778885"/>
    <n v="47534706550.755058"/>
    <n v="47484360184.317169"/>
    <n v="48038277837.884354"/>
    <n v="49601339626.964821"/>
    <n v="51838084329.078094"/>
    <n v="54688703651.855042"/>
    <n v="57575655083.74839"/>
    <n v="61389156292.551117"/>
    <n v="66603045838.949547"/>
    <n v="73817506954.537048"/>
    <n v="77932749070.04837"/>
    <n v="73681102330.250717"/>
    <n v="78629991379.80072"/>
    <n v="80730554469.718689"/>
    <n v="81795230834.920639"/>
    <n v="82312781984.471817"/>
    <n v="84532913950.073776"/>
    <n v="88900883130.837448"/>
    <n v="90629072613.916748"/>
    <n v="93291817009.411285"/>
    <n v="97051840806.398788"/>
    <n v="99489061173.693314"/>
    <n v="96176350812.715973"/>
    <n v="100765137467.9976"/>
    <n v="102649482014.32925"/>
    <n v="104288234772.80817"/>
  </r>
  <r>
    <x v="221"/>
    <s v="SVN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200662694.757793"/>
    <n v="24779774357.213264"/>
    <n v="23425882376.324986"/>
    <n v="24091978440.211704"/>
    <n v="25375475156.7285"/>
    <n v="26417686104.921078"/>
    <n v="27263846125.340218"/>
    <n v="28640614043.007404"/>
    <n v="29579844442.743732"/>
    <n v="31157238919.345295"/>
    <n v="32301448497.085918"/>
    <n v="33340444076.921467"/>
    <n v="34509226036.650764"/>
    <n v="35530788949.948807"/>
    <n v="37079644535.977707"/>
    <n v="38487919291.199982"/>
    <n v="40699587892.472244"/>
    <n v="43540484553.788651"/>
    <n v="45068686557.358574"/>
    <n v="41666704789.201546"/>
    <n v="42226600498.223427"/>
    <n v="42590309918.899208"/>
    <n v="41466164772.272644"/>
    <n v="41039360682.045692"/>
    <n v="42175395368.808189"/>
    <n v="43107506024.325371"/>
    <n v="44483434040.73436"/>
    <n v="46625480708.119904"/>
    <n v="48702350150.258583"/>
    <n v="50417977728.390221"/>
    <n v="48279809918.070297"/>
    <n v="52252514022.035919"/>
    <n v="53538335168.058578"/>
    <n v="54387934678.43866"/>
  </r>
  <r>
    <x v="222"/>
    <s v="SWE"/>
    <s v="PIB (US$ a precios constantes de 2015)"/>
    <s v="NY.GDP.MKTP.KD"/>
    <n v="124634017377.72375"/>
    <n v="131714840855.02907"/>
    <n v="137324638115.57805"/>
    <n v="144641203919.18094"/>
    <n v="154507418426.88406"/>
    <n v="160411931147.88089"/>
    <n v="163765894851.40463"/>
    <n v="169277253502.80774"/>
    <n v="175436415960.82291"/>
    <n v="184224157954.37366"/>
    <n v="196150229232.73901"/>
    <n v="198003155009.14914"/>
    <n v="202534930030.78806"/>
    <n v="210571477885.0303"/>
    <n v="217305965722.13528"/>
    <n v="222853488541.42578"/>
    <n v="225211512171.39151"/>
    <n v="221616554115.96881"/>
    <n v="225498274547.5636"/>
    <n v="234157416129.86377"/>
    <n v="238138025327.29083"/>
    <n v="239221149500.05481"/>
    <n v="242208219499.10339"/>
    <n v="246811722726.6391"/>
    <n v="257250711527.94919"/>
    <n v="262808288360.31189"/>
    <n v="269881308726.53302"/>
    <n v="278932704065.05402"/>
    <n v="286070699812.6521"/>
    <n v="293665324567.97003"/>
    <n v="295881542676.80811"/>
    <n v="292490814556.96313"/>
    <n v="289102037155.61127"/>
    <n v="283130298151.24951"/>
    <n v="294257241961.39252"/>
    <n v="305836832131.48962"/>
    <n v="310667391570.02478"/>
    <n v="320206516443.84918"/>
    <n v="334013297425.39111"/>
    <n v="348199457231.40997"/>
    <n v="364795858131.68384"/>
    <n v="370083569053.71375"/>
    <n v="378214012929.90222"/>
    <n v="386950040254.66205"/>
    <n v="403731506887.75104"/>
    <n v="415273396287.16571"/>
    <n v="434636654376.70288"/>
    <n v="449584772840.50708"/>
    <n v="447559127029.56561"/>
    <n v="428135998219.29071"/>
    <n v="453619110971.17133"/>
    <n v="468113753183.84302"/>
    <n v="465359818585.78845"/>
    <n v="470887249502.53467"/>
    <n v="483402482698.49799"/>
    <n v="505103781349.7569"/>
    <n v="515562425649.40735"/>
    <n v="528801679620.70831"/>
    <n v="539113433181.75653"/>
    <n v="549821281946.73523"/>
    <n v="537888988025.75726"/>
    <n v="570953156693.63074"/>
    <n v="586158778534.54871"/>
    <n v="585008905028.73572"/>
  </r>
  <r>
    <x v="223"/>
    <s v="SWZ"/>
    <s v="PIB (US$ a precios constantes de 2015)"/>
    <s v="NY.GDP.MKTP.KD"/>
    <m/>
    <m/>
    <m/>
    <m/>
    <m/>
    <m/>
    <m/>
    <m/>
    <m/>
    <m/>
    <n v="419059493.97095221"/>
    <n v="476653495.93585992"/>
    <n v="502508584.26393014"/>
    <n v="547828193.98709214"/>
    <n v="579292634.56933939"/>
    <n v="659863226.86210346"/>
    <n v="645877836.43037462"/>
    <n v="652398573.26049316"/>
    <n v="661056742.15003967"/>
    <n v="681595411.88617194"/>
    <n v="766447580.3115977"/>
    <n v="878666551.14533615"/>
    <n v="888969512.89420581"/>
    <n v="899658081.37800992"/>
    <n v="955092808.97210109"/>
    <n v="991313898.52939129"/>
    <n v="1112893373.920845"/>
    <n v="1275449148.8217645"/>
    <n v="1359243882.1288872"/>
    <n v="1534737274.3539171"/>
    <n v="1857308362.905956"/>
    <n v="1890003980.0603404"/>
    <n v="1950979418.5178075"/>
    <n v="2011579066.4320464"/>
    <n v="2059870864.8228602"/>
    <n v="2159273055.1384559"/>
    <n v="2242233484.101685"/>
    <n v="2311805624.614768"/>
    <n v="2372005953.9618878"/>
    <n v="2442000889.672307"/>
    <n v="2484984348.5567126"/>
    <n v="2511195091.3865943"/>
    <n v="2621187924.679831"/>
    <n v="2722895614.6470962"/>
    <n v="2821571016.1845031"/>
    <n v="2990830756.6415691"/>
    <n v="3170046325.4168177"/>
    <n v="3310649785.909812"/>
    <n v="3337852200.5129318"/>
    <n v="3390091218.073041"/>
    <n v="3518702972.0879617"/>
    <n v="3597776312.4803061"/>
    <n v="3791935013.3570423"/>
    <n v="3938349731.2913208"/>
    <n v="3974709779.0639801"/>
    <n v="4063245671.2928457"/>
    <n v="4106422133.9800467"/>
    <n v="4189641987.9301615"/>
    <n v="4289359468.1561232"/>
    <n v="4404836242.8605957"/>
    <n v="4336136540.7974062"/>
    <n v="4799396094.9789953"/>
    <n v="4822230150.0917816"/>
    <n v="5055738006.2062626"/>
  </r>
  <r>
    <x v="224"/>
    <s v="SXM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57551799.4747612"/>
    <n v="1297793365.1585035"/>
    <n v="1357491904.2644579"/>
    <n v="1376368434.1965997"/>
    <n v="1394353867.6766403"/>
    <n v="1416389988.22102"/>
    <n v="1417888715.0837989"/>
    <n v="1431610451.7030313"/>
    <n v="1323735540.537673"/>
    <n v="1232967219.6602464"/>
    <n v="1368162086.8271852"/>
    <n v="1185966832.347759"/>
    <n v="1240255611.8692729"/>
    <n v="1361800675.6173792"/>
    <n v="1408101898.5883701"/>
  </r>
  <r>
    <x v="225"/>
    <s v="SYC"/>
    <s v="PIB (US$ a precios constantes de 2015)"/>
    <s v="NY.GDP.MKTP.KD"/>
    <n v="132183659.73123279"/>
    <n v="125730088.15864548"/>
    <n v="136302204.80446899"/>
    <n v="150117255.10674074"/>
    <n v="159003065.40970165"/>
    <n v="157316724.85524958"/>
    <n v="179178255.43415505"/>
    <n v="180082638.79755348"/>
    <n v="193684704.85057792"/>
    <n v="193684704.85057792"/>
    <n v="210868159.81309021"/>
    <n v="244294507.61902031"/>
    <n v="259705357.50463635"/>
    <n v="283219564.43411362"/>
    <n v="286909489.61068523"/>
    <n v="296025766.28503013"/>
    <n v="344211797.69145244"/>
    <n v="322904306.69562042"/>
    <n v="391204032.7947132"/>
    <n v="452992130.25415993"/>
    <n v="429886464.84917116"/>
    <n v="413220698.98593307"/>
    <n v="404662590.79812354"/>
    <n v="402168917.28632379"/>
    <n v="419484794.19842547"/>
    <n v="462665475.13667727"/>
    <n v="466190739.13971883"/>
    <n v="488915450.92460108"/>
    <n v="514957094.28143734"/>
    <n v="567923802.38996994"/>
    <n v="610261194.73005652"/>
    <n v="627107005.02001381"/>
    <n v="672089666.1279583"/>
    <n v="721174866.33782744"/>
    <n v="703602944.47469783"/>
    <n v="707015676.97242808"/>
    <n v="777702722.22969878"/>
    <n v="872533006.06935942"/>
    <n v="894062242.63469267"/>
    <n v="910799133.49390686"/>
    <n v="949537227.20527482"/>
    <n v="927971690.1166997"/>
    <n v="939226436.10118461"/>
    <n v="883932969.01798105"/>
    <n v="858736866.54988623"/>
    <n v="936072662.702788"/>
    <n v="1024120860.7466182"/>
    <n v="1115022508.933265"/>
    <n v="1084627594.5355728"/>
    <n v="1057735598.8392981"/>
    <n v="1105387984.2341015"/>
    <n v="1210507986.7315464"/>
    <n v="1248162998.3420405"/>
    <n v="1263811654.2403629"/>
    <n v="1315169064.9572802"/>
    <n v="1432403352.1294434"/>
    <n v="1605975218.5876276"/>
    <n v="1717657339.9863789"/>
    <n v="1802500555.7617657"/>
    <n v="1901895701.0371516"/>
    <n v="1678615792.638381"/>
    <n v="1687886479.3196673"/>
    <n v="1940678727.9852974"/>
    <n v="2002037445.9106932"/>
  </r>
  <r>
    <x v="226"/>
    <s v="SYR"/>
    <s v="PIB (US$ a precios constantes de 2015)"/>
    <s v="NY.GDP.MKTP.KD"/>
    <n v="2416812214.9460444"/>
    <n v="2678627026.5341597"/>
    <n v="3335461119.8343453"/>
    <n v="3046852118.7851005"/>
    <n v="3329336863.2339458"/>
    <n v="3405890765.2904348"/>
    <n v="3145031360.3709159"/>
    <n v="3404738069.2605715"/>
    <n v="3531703483.1801195"/>
    <n v="4194530598.436687"/>
    <n v="4119161054.7740932"/>
    <n v="4488065480.3804398"/>
    <n v="5639735181.2573137"/>
    <n v="5049263088.5630703"/>
    <n v="6351759525.7197771"/>
    <n v="7390372315.4317999"/>
    <n v="8296021544.511076"/>
    <n v="8146733153.6918526"/>
    <n v="8956729439.653183"/>
    <n v="9036264196.0047359"/>
    <n v="10347255973.764814"/>
    <n v="11149721255.083157"/>
    <n v="11460696641.926523"/>
    <n v="11726623763.192019"/>
    <n v="10834153792.23797"/>
    <n v="11847234639.379866"/>
    <n v="10905032485.326088"/>
    <n v="11088485921.598864"/>
    <n v="13085648655.931149"/>
    <n v="11299813259.202698"/>
    <n v="11722376092.890329"/>
    <n v="12621068326.826845"/>
    <n v="14258373025.276373"/>
    <n v="15135390660.484289"/>
    <n v="16227110809.157381"/>
    <n v="17367323280.40971"/>
    <n v="19073761683.066662"/>
    <n v="20031990182.366798"/>
    <n v="21391221718.526012"/>
    <n v="20631095377.944466"/>
    <n v="20770487844.979763"/>
    <n v="20988014485.186058"/>
    <n v="21818055182.89534"/>
    <n v="23389922798.318909"/>
    <n v="25004519680.939426"/>
    <n v="26558570041.475925"/>
    <n v="27898767422.60759"/>
    <n v="29481908584.615631"/>
    <n v="30801717148.299202"/>
    <n v="32622727847.201607"/>
    <n v="34316469159.713524"/>
    <n v="35294489506.581512"/>
    <n v="25998267888.113651"/>
    <n v="19160700643.066563"/>
    <n v="17185167277.810295"/>
    <n v="16466863097.212492"/>
    <n v="15412063239.594046"/>
    <n v="15300590594.649824"/>
    <n v="15513754762.654387"/>
    <n v="15703131976.969515"/>
    <n v="15674500383.098156"/>
    <n v="15878227834.918976"/>
    <m/>
    <m/>
  </r>
  <r>
    <x v="227"/>
    <s v="TCA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7808573.00046408"/>
    <n v="770245945.25946248"/>
    <n v="778494332.03451693"/>
    <n v="846311282.16842008"/>
    <n v="942070000"/>
    <n v="1010381196.6048472"/>
    <n v="985121666.689726"/>
    <n v="1040392839.7112125"/>
    <n v="1095647325.7176867"/>
    <n v="802200837.95577037"/>
    <n v="874603454.30153179"/>
    <n v="928828863.96852875"/>
    <n v="939974780.10682523"/>
  </r>
  <r>
    <x v="228"/>
    <s v="TCD"/>
    <s v="PIB (US$ a precios constantes de 2015)"/>
    <s v="NY.GDP.MKTP.KD"/>
    <n v="1696963334.8197432"/>
    <n v="1720682532.4275651"/>
    <n v="1812913114.0319281"/>
    <n v="1783916402.4373109"/>
    <n v="1739123338.995749"/>
    <n v="1749666387.9152174"/>
    <n v="1718048299.7338486"/>
    <n v="1731229190.0378182"/>
    <n v="1723313683.5579503"/>
    <n v="1841900244.2526321"/>
    <n v="1876153261.4734035"/>
    <n v="1833984345.9809525"/>
    <n v="1855068125.1990623"/>
    <n v="1699597035.907274"/>
    <n v="1783928535.3261898"/>
    <n v="1944665264.8982513"/>
    <n v="2002631171.7228909"/>
    <n v="2047382465.5227885"/>
    <n v="2037767257.5049212"/>
    <n v="1600847792.92735"/>
    <n v="1504033789.2452037"/>
    <n v="1519719629.9024293"/>
    <n v="1600973096.3999717"/>
    <n v="1851985149.8979783"/>
    <n v="1889930453.4627175"/>
    <n v="2301798717.0677576"/>
    <n v="2207846946.5201879"/>
    <n v="2155105711.0538044"/>
    <n v="2488766915.577517"/>
    <n v="2610336586.7223969"/>
    <n v="2501264393.6097174"/>
    <n v="2714750740.5004244"/>
    <n v="2931969982.9953485"/>
    <n v="2471362276.452374"/>
    <n v="2721881493.4334226"/>
    <n v="2755538900.4463468"/>
    <n v="2816559566.3566947"/>
    <n v="2975790728.7913742"/>
    <n v="3182655199.3630233"/>
    <n v="3160922431.418335"/>
    <n v="3133116396.5601182"/>
    <n v="3498379324.9468613"/>
    <n v="3795434053.6919355"/>
    <n v="4354185216.7404366"/>
    <n v="5818470354.4231739"/>
    <n v="6826958691.4694147"/>
    <n v="6871215271.3841352"/>
    <n v="7096007050.0518475"/>
    <n v="7312626256.3766518"/>
    <n v="7621050568.7186527"/>
    <n v="8653710607.3372593"/>
    <n v="8660881919.8749847"/>
    <n v="9430191344.8882637"/>
    <n v="9967712380.0670719"/>
    <n v="10655483043.652374"/>
    <n v="10950392256.954294"/>
    <n v="10265387503.357191"/>
    <n v="9958586279.1443024"/>
    <n v="10195006881.794432"/>
    <n v="10526057301.741241"/>
    <n v="10357639675.767086"/>
    <n v="10236539498.759405"/>
    <n v="10523606947.148573"/>
    <n v="10957423661.064392"/>
  </r>
  <r>
    <x v="229"/>
    <s v="TEA"/>
    <s v="PIB (US$ a precios constantes de 2015)"/>
    <s v="NY.GDP.MKTP.KD"/>
    <n v="288699190701.73706"/>
    <n v="250220539098.70261"/>
    <n v="248618395243.8992"/>
    <n v="264627981458.6752"/>
    <n v="293167705081.68256"/>
    <n v="324776456230.37231"/>
    <n v="350765957552.70917"/>
    <n v="345783080234.81158"/>
    <n v="351915939019.72894"/>
    <n v="391979865712.1322"/>
    <n v="444668586061.35876"/>
    <n v="474770602894.89075"/>
    <n v="498041527169.53265"/>
    <n v="539190991020.71472"/>
    <n v="559992928453.1803"/>
    <n v="598221010529.81067"/>
    <n v="615124807338.69446"/>
    <n v="660693840933.83545"/>
    <n v="721480432594.83813"/>
    <n v="771973954693.3136"/>
    <n v="829827886753.24927"/>
    <n v="876044460615.46973"/>
    <n v="932174503648.02783"/>
    <n v="1004151388754.8849"/>
    <n v="1103918576958.7422"/>
    <n v="1190996071120.5757"/>
    <n v="1275823867341.5867"/>
    <n v="1392900394530.6311"/>
    <n v="1528530287926.4004"/>
    <n v="1616413410546.0168"/>
    <n v="1699676230092.3799"/>
    <n v="1835664409788.7932"/>
    <n v="2040850641389.9229"/>
    <n v="2270706745859.8413"/>
    <n v="2518995496108.1128"/>
    <n v="2767709989161.5186"/>
    <n v="3018534535101.1631"/>
    <n v="3240151667770.9111"/>
    <n v="3333902723129.4365"/>
    <n v="3546532714218.7334"/>
    <n v="3817689513328.2339"/>
    <n v="4084135914673.5361"/>
    <n v="4413307544851.0508"/>
    <n v="4808031651297.0332"/>
    <n v="5246567734470.8037"/>
    <n v="5769991882603.3018"/>
    <n v="6409183937015.8955"/>
    <n v="7209444580059.4609"/>
    <n v="7830567982095.2725"/>
    <n v="8455789419859.1943"/>
    <n v="9294695223114.9141"/>
    <n v="10098026225652.791"/>
    <n v="10863480620396.9"/>
    <n v="11656347859008.301"/>
    <n v="12470467960056.234"/>
    <n v="13306887306272.541"/>
    <n v="14180427732030.016"/>
    <n v="15131566542961.018"/>
    <n v="16118877443878.422"/>
    <n v="17050842061658.068"/>
    <n v="17263428860551.723"/>
    <n v="18576039809802.148"/>
    <n v="19210145097604.012"/>
    <n v="20183800841832.816"/>
  </r>
  <r>
    <x v="230"/>
    <s v="TEC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n v="2330314782638.3403"/>
    <n v="2296373847569.0107"/>
    <n v="2160922637392.457"/>
    <n v="1954620189896.0234"/>
    <n v="1863672267405.842"/>
    <n v="1706678536184.571"/>
    <n v="1704254911944.7593"/>
    <n v="1721598508001.3616"/>
    <n v="1772180830058.1538"/>
    <n v="1760856534507.5356"/>
    <n v="1804294238111.7996"/>
    <n v="1937084985037.9875"/>
    <n v="1987315294683.7253"/>
    <n v="2086919108059.2698"/>
    <n v="2215916740102.1826"/>
    <n v="2390267991251.3057"/>
    <n v="2549059724028.8472"/>
    <n v="2749242143671.6265"/>
    <n v="2958941593970.6909"/>
    <n v="3090800850045.9922"/>
    <n v="2946382696916.9893"/>
    <n v="3082877547417.0054"/>
    <n v="3265645431068.146"/>
    <n v="3378506883864.0293"/>
    <n v="3493089136803.4204"/>
    <n v="3574749571185.8027"/>
    <n v="3627947465522.1328"/>
    <n v="3695155426794.5366"/>
    <n v="3853771161346.6509"/>
    <n v="3996157190844.7817"/>
    <n v="4102340795533.1089"/>
    <n v="4042327842013.5586"/>
    <n v="4340913101198.3105"/>
    <n v="4417659468346.3008"/>
    <n v="4569846962577.96"/>
  </r>
  <r>
    <x v="231"/>
    <s v="TGO"/>
    <s v="PIB (US$ a precios constantes de 2015)"/>
    <s v="NY.GDP.MKTP.KD"/>
    <n v="751799549.18051159"/>
    <n v="843288422.31895375"/>
    <n v="875111199.74918604"/>
    <n v="918864084.26659071"/>
    <n v="1050133110.8370651"/>
    <n v="1212480672.806138"/>
    <n v="1326559573.4603686"/>
    <n v="1399525278.9344893"/>
    <n v="1469833116.3458188"/>
    <n v="1629028806.0552301"/>
    <n v="1670150423.2988749"/>
    <n v="1670150423.2988749"/>
    <n v="1797502024.3447127"/>
    <n v="1866480876.9723094"/>
    <n v="1956685081.5824854"/>
    <n v="2004438786.8307135"/>
    <n v="1963317272.3737526"/>
    <n v="2099946197.5003848"/>
    <n v="2331894379.4347816"/>
    <n v="2211388079.1402526"/>
    <n v="2533741148.8505578"/>
    <n v="2449742915.0422277"/>
    <n v="2361983262.4763279"/>
    <n v="2234105304.7732778"/>
    <n v="2358222254.6576056"/>
    <n v="2489234522.1471834"/>
    <n v="2528726335.2412934"/>
    <n v="2541626940.6559067"/>
    <n v="2710451200.2361088"/>
    <n v="2820496106.6876974"/>
    <n v="2813623794.9015002"/>
    <n v="2793929342.9399858"/>
    <n v="2682711766.0002122"/>
    <n v="2277734225.8616309"/>
    <n v="2618993805.3774319"/>
    <n v="2824475667.7950616"/>
    <n v="3074052315.2820492"/>
    <n v="3516020423.3674173"/>
    <n v="3435156293.5297098"/>
    <n v="3520408334.1680431"/>
    <n v="3492826652.8081784"/>
    <n v="3521587940.895155"/>
    <n v="3656345820.2027292"/>
    <n v="3902058527.1384778"/>
    <n v="3863870432.9666443"/>
    <n v="3683570670.8156481"/>
    <n v="3781190159.5718546"/>
    <n v="3736756622.9860487"/>
    <n v="3887558864.9966364"/>
    <n v="4099579483.1691146"/>
    <n v="4339583325.0373878"/>
    <n v="4592288208.1733236"/>
    <n v="4881726146.7373047"/>
    <n v="5166050854.8109217"/>
    <n v="5457066909.1696482"/>
    <n v="5755461035.4433317"/>
    <n v="5998047709.9145794"/>
    <n v="6238457455.2236843"/>
    <n v="6537595250.1401625"/>
    <n v="6859436221.0487022"/>
    <n v="6996086823.9810858"/>
    <n v="7415213717.7286844"/>
    <n v="7842296104.3954954"/>
    <n v="8344824334.0366011"/>
  </r>
  <r>
    <x v="232"/>
    <s v="THA"/>
    <s v="PIB (US$ a precios constantes de 2015)"/>
    <s v="NY.GDP.MKTP.KD"/>
    <n v="15908737340.235338"/>
    <n v="16761787111.170006"/>
    <n v="18028015159.553181"/>
    <n v="19470225866.569954"/>
    <n v="20800236244.686081"/>
    <n v="22502041173.263546"/>
    <n v="25004834864.431049"/>
    <n v="27159247018.816761"/>
    <n v="29365194461.055531"/>
    <n v="31288808475.025814"/>
    <n v="34858219809.280685"/>
    <n v="36564659955.11203"/>
    <n v="38129081870.5821"/>
    <n v="42032139795.452919"/>
    <n v="43909401662.172409"/>
    <n v="46091876857.825432"/>
    <n v="50390779136.403496"/>
    <n v="55350976954.682205"/>
    <n v="61049773246.548485"/>
    <n v="64329224521.789627"/>
    <n v="67657323331.085678"/>
    <n v="71653751952.262878"/>
    <n v="75488910649.686157"/>
    <n v="79704364262.151199"/>
    <n v="84289302223.724915"/>
    <n v="88206428692.956772"/>
    <n v="93087620536.465164"/>
    <n v="101948580888.59592"/>
    <n v="115495624611.61752"/>
    <n v="129575125644.17044"/>
    <n v="144044991708.43863"/>
    <n v="156372737078.55869"/>
    <n v="169012952179.51303"/>
    <n v="182959758879.24185"/>
    <n v="197591095927.87241"/>
    <n v="213636116013.33444"/>
    <n v="225710710647.57977"/>
    <n v="219495596601.21045"/>
    <n v="202739225305.4556"/>
    <n v="212009086618.7294"/>
    <n v="221454615181.94397"/>
    <n v="229082063572.24698"/>
    <n v="243168402250.19989"/>
    <n v="260650370324.98077"/>
    <n v="277043563911.34509"/>
    <n v="288645146658.33386"/>
    <n v="302984491694.58679"/>
    <n v="319452158416.90253"/>
    <n v="324964940636.73322"/>
    <n v="322720673508.11121"/>
    <n v="346967938038.26501"/>
    <n v="349882927003.63312"/>
    <n v="375224234353.83557"/>
    <n v="385308369004.16693"/>
    <n v="389101609925.9328"/>
    <n v="401296238228.08392"/>
    <n v="415081396923.29291"/>
    <n v="432422173710.33344"/>
    <n v="450682801200.33887"/>
    <n v="460212749509.62622"/>
    <n v="432369701127.27765"/>
    <n v="439150043937.79187"/>
    <n v="449965296578.69971"/>
    <n v="458437321749.60815"/>
  </r>
  <r>
    <x v="233"/>
    <s v="TJK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n v="6548213772.0010338"/>
    <n v="6777401245.7111101"/>
    <n v="6696072427.7407732"/>
    <n v="7626826568.4754744"/>
    <n v="7131082790.9093609"/>
    <n v="7088296320.4535942"/>
    <n v="6585027345.7636223"/>
    <n v="4675369345.9906921"/>
    <n v="3908608780.5005469"/>
    <n v="3076075187.914279"/>
    <n v="2694139780.48735"/>
    <n v="2244218479.3001204"/>
    <n v="2281936478.834372"/>
    <n v="2403172744.0264239"/>
    <n v="2492079338.5005956"/>
    <n v="2699528109.30372"/>
    <n v="2958165475.0467649"/>
    <n v="3277647457.5541825"/>
    <n v="3638188647.6671081"/>
    <n v="4012922039.8488264"/>
    <n v="4281787756.9891701"/>
    <n v="4581513037.4704685"/>
    <n v="4938871059.8324118"/>
    <n v="5329041788.1932249"/>
    <n v="5536874479.1242809"/>
    <n v="5896771269.6521511"/>
    <n v="6333132378.9615116"/>
    <n v="6808117273.3883362"/>
    <n v="7311917934.3947935"/>
    <n v="7801816486.4633617"/>
    <n v="8271431485.0748415"/>
    <n v="8842160257.5450058"/>
    <n v="9469953672.8477936"/>
    <n v="10189670046.825466"/>
    <n v="10943705646.910469"/>
    <n v="11425228817.455389"/>
    <n v="12499200274.925537"/>
    <n v="13499136339.224829"/>
    <n v="14619564549.617371"/>
  </r>
  <r>
    <x v="234"/>
    <s v="TKM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n v="9134688479.3085365"/>
    <n v="10141662024.143299"/>
    <n v="9710101901.7063618"/>
    <n v="13145978551.504999"/>
    <n v="12540571637.206928"/>
    <n v="10663751366.949852"/>
    <n v="10823707656.00029"/>
    <n v="8951221333.6005478"/>
    <n v="8306729733.4476471"/>
    <n v="8863279974.3948174"/>
    <n v="7852866037.1355534"/>
    <n v="8410419552.7754297"/>
    <n v="9798138736.6980629"/>
    <n v="10334005228.002203"/>
    <n v="10782898471.217133"/>
    <n v="10810629921.418913"/>
    <n v="11164010879.757881"/>
    <n v="11722256910.1313"/>
    <n v="13250139963.351376"/>
    <n v="14704118675.07719"/>
    <n v="16330291193.844343"/>
    <n v="18730843999.339462"/>
    <n v="19873425504.812748"/>
    <n v="21701780648.881611"/>
    <n v="24891942388.614223"/>
    <n v="27654947984.180569"/>
    <n v="30475752706.608826"/>
    <n v="33614755226.413181"/>
    <n v="35799714285.714287"/>
    <n v="38019296559.410637"/>
    <n v="40490550853.576675"/>
    <n v="43000964982.7593"/>
    <n v="45710025794.848404"/>
    <n v="48406917316.744453"/>
    <n v="51408146190.382614"/>
    <n v="54595451254.186348"/>
    <n v="58034964683.20005"/>
  </r>
  <r>
    <x v="235"/>
    <s v="TLA"/>
    <s v="PIB (US$ a precios constantes de 2015)"/>
    <s v="NY.GDP.MKTP.KD"/>
    <n v="698704283521.51392"/>
    <n v="741302375618.37927"/>
    <n v="772423865660.5957"/>
    <n v="787074214700.72046"/>
    <n v="844223251183.45142"/>
    <n v="891262948172.72937"/>
    <n v="934662766077.65112"/>
    <n v="974606449283.96033"/>
    <n v="1044384095786.9508"/>
    <n v="1114948994833.5967"/>
    <n v="1187742916199.0288"/>
    <n v="1269431095953.2891"/>
    <n v="1361543854714.8147"/>
    <n v="1472249539807.9946"/>
    <n v="1568206494806.9426"/>
    <n v="1625297225728.3174"/>
    <n v="1713340463735.6233"/>
    <n v="1794857088286.1362"/>
    <n v="1873889621358.4707"/>
    <n v="2013638337723.6997"/>
    <n v="2153045111535.5042"/>
    <n v="2173207967337.5295"/>
    <n v="2165837242660.7292"/>
    <n v="2112343720105.646"/>
    <n v="2190721720895.3884"/>
    <n v="2260066553741.7026"/>
    <n v="2339836062104.562"/>
    <n v="2418667496043.6953"/>
    <n v="2427934063051.7813"/>
    <n v="2467676145163.3257"/>
    <n v="2461613451249.5796"/>
    <n v="2542741523167.7417"/>
    <n v="2614186440969.3965"/>
    <n v="2737621089418.145"/>
    <n v="2883295468544.0161"/>
    <n v="2903207208373.2598"/>
    <n v="3018371119398.2554"/>
    <n v="3182944433781.4473"/>
    <n v="3276529325489.0562"/>
    <n v="3291253004695.7974"/>
    <n v="3409199175203.3423"/>
    <n v="3416890873870.3833"/>
    <n v="3431564104057.8721"/>
    <n v="3518514015574.5806"/>
    <n v="3706605975687.8096"/>
    <n v="3855887907171.4448"/>
    <n v="4057886054277.3296"/>
    <n v="4274995116079.0635"/>
    <n v="4437865812568.3096"/>
    <n v="4334470583938.4541"/>
    <n v="4623963528439.748"/>
    <n v="4835227018934.459"/>
    <n v="4962906890544.4932"/>
    <n v="5104502172495.4648"/>
    <n v="5175878709705.6563"/>
    <n v="5194835549016.9131"/>
    <n v="5177367110171.3623"/>
    <n v="5280460967083.3506"/>
    <n v="5368880833322.3115"/>
    <n v="5407406169586.2715"/>
    <n v="5052302548094.334"/>
    <n v="5416110373204.0469"/>
    <n v="5633165762229.8691"/>
    <n v="5755987306504.3213"/>
  </r>
  <r>
    <x v="236"/>
    <s v="TLS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1437140.43088883"/>
    <n v="533019691.71259779"/>
    <n v="588771012.94132149"/>
    <n v="648853693.18982673"/>
    <n v="695070470.70776761"/>
    <n v="741509956.2066344"/>
    <n v="800698636.71212149"/>
    <n v="832726582.18060517"/>
    <n v="816072050.53699303"/>
    <n v="526754627.51598954"/>
    <n v="832683747.80083442"/>
    <n v="968839039.26555002"/>
    <n v="903891443.33697605"/>
    <n v="884166144.57351291"/>
    <n v="887702844.35180485"/>
    <n v="914197042.69094014"/>
    <n v="876567845.04983413"/>
    <n v="966550939.40898609"/>
    <n v="1076687532.5047584"/>
    <n v="1185938525.6560471"/>
    <n v="1296604518.7186325"/>
    <n v="1373863213.8754499"/>
    <n v="1440641509.6892612"/>
    <n v="1485364306.8856845"/>
    <n v="1551797202.7211483"/>
    <n v="1595205100"/>
    <n v="1648934396.6318252"/>
    <n v="1597082499.8823099"/>
    <n v="1586017900.5759261"/>
    <n v="1957336677.2987452"/>
    <n v="2582939038.0810695"/>
    <n v="2720236129.4742084"/>
    <n v="2161456464.502912"/>
    <n v="1851106829.1772978"/>
  </r>
  <r>
    <x v="237"/>
    <s v="TMN"/>
    <s v="PIB (US$ a precios constantes de 2015)"/>
    <s v="NY.GDP.MKTP.KD"/>
    <n v="134916926204.76817"/>
    <n v="139451646705.14844"/>
    <n v="142666624548.97107"/>
    <n v="159290731734.37726"/>
    <n v="176180358353.05505"/>
    <n v="198217926710.78107"/>
    <n v="212815984110.41849"/>
    <n v="229602642626.38971"/>
    <n v="259832567446.78256"/>
    <n v="290441245371.71429"/>
    <n v="314760481114.10931"/>
    <n v="334313935106.59869"/>
    <n v="378613237956.15881"/>
    <n v="398603513322.89984"/>
    <n v="429747965846.16492"/>
    <n v="442662506690.10376"/>
    <n v="514593399856.34485"/>
    <n v="522150661659.12622"/>
    <n v="507413907063.61829"/>
    <n v="502375584888.8949"/>
    <n v="477907976162.04041"/>
    <n v="465034322317.2262"/>
    <n v="518928030907.92542"/>
    <n v="542064289331.87927"/>
    <n v="539114864089.1687"/>
    <n v="559951184484.14746"/>
    <n v="543459778674.66046"/>
    <n v="543940325667.69141"/>
    <n v="548096811774.62286"/>
    <n v="561480457214.97888"/>
    <n v="622910736318.5531"/>
    <n v="626157655725.63818"/>
    <n v="654068656402.50232"/>
    <n v="663876698234.1394"/>
    <n v="677415726514.93262"/>
    <n v="694612310735.52466"/>
    <n v="737813002790.58044"/>
    <n v="766302103913.91211"/>
    <n v="811426235867.50342"/>
    <n v="846167442387.75452"/>
    <n v="898354619571.74683"/>
    <n v="924132086539.93188"/>
    <n v="954183568834.95996"/>
    <n v="975300503724.65466"/>
    <n v="1049772695175.6715"/>
    <n v="1096179255705.1619"/>
    <n v="1154577323460.9526"/>
    <n v="1224220768556.9788"/>
    <n v="1269381832238.8062"/>
    <n v="1301186909161.4951"/>
    <n v="1370872981240.8359"/>
    <n v="1356802970672.2227"/>
    <n v="1404755586686.9622"/>
    <n v="1410617703872.0576"/>
    <n v="1436637842301.7173"/>
    <n v="1446610375148.2905"/>
    <n v="1524262127853.9858"/>
    <n v="1572107907247.7778"/>
    <n v="1600776715971.9358"/>
    <n v="1618549096944.0725"/>
    <n v="1548381678513.7263"/>
    <n v="1644599495547.7422"/>
    <n v="1717197406561.1169"/>
    <n v="1765327234796.3921"/>
  </r>
  <r>
    <x v="238"/>
    <s v="TON"/>
    <s v="PIB (US$ a precios constantes de 2015)"/>
    <s v="NY.GDP.MKTP.KD"/>
    <m/>
    <m/>
    <m/>
    <m/>
    <m/>
    <m/>
    <m/>
    <m/>
    <m/>
    <m/>
    <m/>
    <m/>
    <m/>
    <m/>
    <m/>
    <m/>
    <m/>
    <m/>
    <m/>
    <m/>
    <m/>
    <n v="222218177.73333263"/>
    <n v="232754131.32876831"/>
    <n v="237368255.54409614"/>
    <n v="241494646.21417159"/>
    <n v="257332984.34429795"/>
    <n v="262784997.57493922"/>
    <n v="270630805.76169819"/>
    <n v="265537880.2721177"/>
    <n v="266573230.55138332"/>
    <n v="261124229.97711393"/>
    <n v="277875212.43439108"/>
    <n v="278575390.34638411"/>
    <n v="288988692.72065681"/>
    <n v="303300919.34311444"/>
    <n v="325680086.33776271"/>
    <n v="331560341.96400315"/>
    <n v="335616815.69913846"/>
    <n v="343868824.70636016"/>
    <n v="356629387.47414708"/>
    <n v="359753425.4701885"/>
    <n v="373240314.06902117"/>
    <n v="391335052.32355583"/>
    <n v="400367243.36399508"/>
    <n v="390715587.78918105"/>
    <n v="391032199.84338868"/>
    <n v="390450987.87052143"/>
    <n v="391509482.11267948"/>
    <n v="410106846.73164457"/>
    <n v="388784944.60140508"/>
    <n v="391908793.46240813"/>
    <n v="418630217.23514724"/>
    <n v="422075973.93143177"/>
    <n v="423394150.58125228"/>
    <n v="431941210.24830902"/>
    <n v="437003078.56358403"/>
    <n v="465718553.04570806"/>
    <n v="481191737.81735301"/>
    <n v="482352506.8315019"/>
    <n v="485760247.38507688"/>
    <n v="488133892.11644173"/>
    <n v="475112890.40083897"/>
    <n v="465555896.91272199"/>
    <m/>
  </r>
  <r>
    <x v="239"/>
    <s v="TSA"/>
    <s v="PIB (US$ a precios constantes de 2015)"/>
    <s v="NY.GDP.MKTP.KD"/>
    <n v="188384865576.30359"/>
    <n v="196323078096.2312"/>
    <n v="203013742495.8356"/>
    <n v="213755867213.79526"/>
    <n v="230341410191.3924"/>
    <n v="229094484168.49249"/>
    <n v="231941618003.48447"/>
    <n v="246110619303.88477"/>
    <n v="257437137636.18359"/>
    <n v="272309855285.4068"/>
    <n v="288395692821.0025"/>
    <n v="290182184938.80737"/>
    <n v="285080392979.32593"/>
    <n v="296146603187.63678"/>
    <n v="303490042232.47577"/>
    <n v="324364425202.39917"/>
    <n v="332820432142.81549"/>
    <n v="353538047029.70477"/>
    <n v="375256936268.0921"/>
    <n v="365782094529.19568"/>
    <n v="389641207407.97137"/>
    <n v="414752677749.65466"/>
    <n v="430747123309.5946"/>
    <n v="459474310934.33685"/>
    <n v="479011839753.10901"/>
    <n v="505244771988.64789"/>
    <n v="529670424597.94299"/>
    <n v="552283459695.12817"/>
    <n v="598498157215.08289"/>
    <n v="630714525842.62207"/>
    <n v="664753654341.88623"/>
    <n v="678765301369.54309"/>
    <n v="718178938342.39172"/>
    <n v="748962171639.82629"/>
    <n v="793287429966.13574"/>
    <n v="847419806837.64221"/>
    <n v="904266037894.74915"/>
    <n v="937674838950.15015"/>
    <n v="988732770759.53809"/>
    <n v="1063012950911.1112"/>
    <n v="1106728825011.4841"/>
    <n v="1154972547449.8071"/>
    <n v="1197949946219.0144"/>
    <n v="1283915686115.46"/>
    <n v="1380834924638.552"/>
    <n v="1485954206720.8721"/>
    <n v="1599162055935.752"/>
    <n v="1713328891738.8699"/>
    <n v="1769836277485.2703"/>
    <n v="1892838131745.5356"/>
    <n v="2032264437265.9087"/>
    <n v="2135325077459.9792"/>
    <n v="2250233106684.2827"/>
    <n v="2385440649481.9819"/>
    <n v="2548791758156.1309"/>
    <n v="2733618963171.5859"/>
    <n v="2946191611624.6099"/>
    <n v="3137771875096.4048"/>
    <n v="3336540107818.0254"/>
    <n v="3467476713350.9253"/>
    <n v="3308572896242.9897"/>
    <n v="3598530287648.1685"/>
    <n v="3825677137194.7095"/>
    <n v="4068716856200.5288"/>
  </r>
  <r>
    <x v="240"/>
    <s v="TSS"/>
    <s v="PIB (US$ a precios constantes de 2015)"/>
    <s v="NY.GDP.MKTP.KD"/>
    <n v="259688666546.1088"/>
    <n v="262533459180.58334"/>
    <n v="278324420664.27856"/>
    <n v="295811031504.77899"/>
    <n v="310579223172.72009"/>
    <n v="325120176468.49292"/>
    <n v="331743775646.62994"/>
    <n v="329226379613.237"/>
    <n v="339550642706.37341"/>
    <n v="370155099296.03766"/>
    <n v="399196168091.24365"/>
    <n v="430182672532.45288"/>
    <n v="442945886983.4845"/>
    <n v="462093996296.30762"/>
    <n v="497097342175.29834"/>
    <n v="495813565637.61877"/>
    <n v="521522603376.90259"/>
    <n v="536016005862.1582"/>
    <n v="535156914859.22083"/>
    <n v="556309149232.56238"/>
    <n v="577214956566.79492"/>
    <n v="572505116931.91699"/>
    <n v="565633600338.03589"/>
    <n v="551043617464.979"/>
    <n v="563426710906.44055"/>
    <n v="574737158248.35132"/>
    <n v="585671567075.36963"/>
    <n v="602958874158.52917"/>
    <n v="629783498509.13708"/>
    <n v="644356173856.86365"/>
    <n v="659524980276.20142"/>
    <n v="661831221443.65332"/>
    <n v="659184063201.12292"/>
    <n v="653298256792.22778"/>
    <n v="659704517521.88708"/>
    <n v="681599371303.87061"/>
    <n v="716571395804.67444"/>
    <n v="745824709801.95081"/>
    <n v="764487703603.08081"/>
    <n v="781341706008.24646"/>
    <n v="808517737277.38196"/>
    <n v="842463042074.14856"/>
    <n v="895800765230.39136"/>
    <n v="932081500585.36438"/>
    <n v="993617156992.6239"/>
    <n v="1053421773024.9535"/>
    <n v="1117215564462.2976"/>
    <n v="1186061093106.24"/>
    <n v="1247611030059.3354"/>
    <n v="1287291060097.8115"/>
    <n v="1364471531295.8145"/>
    <n v="1424704829896.0032"/>
    <n v="1471125252793.658"/>
    <n v="1546012009178.8767"/>
    <n v="1621314547113.5488"/>
    <n v="1668662993704.6563"/>
    <n v="1689388408434.4724"/>
    <n v="1731357602339.189"/>
    <n v="1779055933937.084"/>
    <n v="1826374286081.7466"/>
    <n v="1790451424728.478"/>
    <n v="1866813048083.8801"/>
    <n v="1935148905025.041"/>
    <n v="1992334403857.4631"/>
  </r>
  <r>
    <x v="241"/>
    <s v="TTO"/>
    <s v="PIB (US$ a precios constantes de 2015)"/>
    <s v="NY.GDP.MKTP.KD"/>
    <n v="3625840698.3041954"/>
    <n v="4134802526.5591469"/>
    <n v="4248197962.0278378"/>
    <n v="4486292348.0307426"/>
    <n v="4828618875.4230795"/>
    <n v="4862122261.0680161"/>
    <n v="5059369885.2614841"/>
    <n v="5162708411.4254704"/>
    <n v="5431950966.2456808"/>
    <n v="5580280415.305603"/>
    <n v="5777467194.9917383"/>
    <n v="5837572256.1617622"/>
    <n v="6175004178.3857698"/>
    <n v="6277288229.9238825"/>
    <n v="6516302508.1959171"/>
    <n v="6612611202.7520046"/>
    <n v="7036158563.6141624"/>
    <n v="7677982199.1302919"/>
    <n v="8447045788.7385082"/>
    <n v="8751086010.39258"/>
    <n v="9660394742.682806"/>
    <n v="10102571157.623001"/>
    <n v="10486399969.295147"/>
    <n v="9406266326.2808208"/>
    <n v="8865320775.7506008"/>
    <n v="8500121018.1564913"/>
    <n v="8221388190.6944447"/>
    <n v="7846346668.6763105"/>
    <n v="7538791531.2182903"/>
    <n v="7476226028.8701906"/>
    <n v="7589054827.9642897"/>
    <n v="7825257167.3663769"/>
    <n v="8615058770.1058025"/>
    <n v="8557414139.7358742"/>
    <n v="8862672557.2881889"/>
    <n v="9200332683.9267654"/>
    <n v="9856728345.9489517"/>
    <n v="10598235690.321548"/>
    <n v="11459296131.486481"/>
    <n v="12378883749.266993"/>
    <n v="13233195030.122105"/>
    <n v="13784823938.518288"/>
    <n v="14878885395.403698"/>
    <n v="17027543678.869793"/>
    <n v="18381242172.346836"/>
    <n v="19522522080.315983"/>
    <n v="22101068237.892052"/>
    <n v="23151799368.06646"/>
    <n v="23937047531.474442"/>
    <n v="22885797214.055943"/>
    <n v="23646343682.216583"/>
    <n v="23576739627.010338"/>
    <n v="25332457199.505619"/>
    <n v="26227145724.223469"/>
    <n v="27237844318.001621"/>
    <n v="27026080986.578022"/>
    <n v="24991790730.805378"/>
    <n v="23791977736.537971"/>
    <n v="23648639435.384693"/>
    <n v="23734075444.003269"/>
    <n v="21579525293.38995"/>
    <n v="21355653641.954254"/>
    <n v="21672194580.640583"/>
    <n v="22128014027.032578"/>
  </r>
  <r>
    <x v="242"/>
    <s v="TUN"/>
    <s v="PIB (US$ a precios constantes de 2015)"/>
    <s v="NY.GDP.MKTP.KD"/>
    <m/>
    <n v="6137829834.3640909"/>
    <n v="5856098258.0582952"/>
    <n v="5227504980.614439"/>
    <n v="4983069469.1186466"/>
    <n v="4856664332.9200029"/>
    <n v="5024455669.665019"/>
    <n v="5032592899.7934179"/>
    <n v="5556472161.5089293"/>
    <n v="5820283202.6915884"/>
    <n v="6092068996.3838787"/>
    <n v="6735403513.0616789"/>
    <n v="7930447182.1279449"/>
    <n v="7878531024.949482"/>
    <n v="8514705256.3554401"/>
    <n v="9124026071.4676361"/>
    <n v="9842712161.1132908"/>
    <n v="10178456507.124126"/>
    <n v="10833997304.526375"/>
    <n v="11545522371.756102"/>
    <n v="12402054611.396828"/>
    <n v="13085912934.96649"/>
    <n v="13021302861.976946"/>
    <n v="13630949504.460909"/>
    <n v="14414571426.666935"/>
    <n v="15228789050.443975"/>
    <n v="15008430237.264179"/>
    <n v="16014200843.114038"/>
    <n v="16025756542.694839"/>
    <n v="16305678292.520519"/>
    <n v="17601950274.697685"/>
    <n v="18289226397.40802"/>
    <n v="19716833823.731369"/>
    <n v="20148598741.369198"/>
    <n v="20789004085.008247"/>
    <n v="21277892826.370564"/>
    <n v="22798428275.989098"/>
    <n v="24038877877.618694"/>
    <n v="25188840697.722157"/>
    <n v="26713932931.462185"/>
    <n v="27972151936.746063"/>
    <n v="29034050813.979366"/>
    <n v="29418042728.457645"/>
    <n v="30801396632.29496"/>
    <n v="32722107265.807785"/>
    <n v="33862978438.273853"/>
    <n v="35638786833.82444"/>
    <n v="38029978711.509903"/>
    <n v="39641606104.303429"/>
    <n v="40848078614.327667"/>
    <n v="42061729256.055389"/>
    <n v="41200879648.127899"/>
    <n v="42938187711.576004"/>
    <n v="43981556030.35939"/>
    <n v="45340730384.707016"/>
    <n v="45779494041.929527"/>
    <n v="46291045987.634094"/>
    <n v="47326964919.964302"/>
    <n v="48569264671.684204"/>
    <n v="49340470115.968956"/>
    <n v="45101222687.340126"/>
    <n v="47178218215.606087"/>
    <n v="48406720424.470901"/>
    <n v="48611794724.789017"/>
  </r>
  <r>
    <x v="243"/>
    <s v="TUR"/>
    <s v="PIB (US$ a precios constantes de 2015)"/>
    <s v="NY.GDP.MKTP.KD"/>
    <n v="68944998408.551865"/>
    <n v="69742050427.915573"/>
    <n v="73627678958.99321"/>
    <n v="80302989304.562103"/>
    <n v="84686775101.495941"/>
    <n v="87077931215.871887"/>
    <n v="96841818579.718109"/>
    <n v="101424867564.41856"/>
    <n v="108299441041.46922"/>
    <n v="112719298936.9866"/>
    <n v="116364087582.34077"/>
    <n v="122841720846.44621"/>
    <n v="131963687012.07986"/>
    <n v="136268783925.23505"/>
    <n v="143892306160.79385"/>
    <n v="154215302356.6796"/>
    <n v="170348042039.53955"/>
    <n v="176151237350.24313"/>
    <n v="178798672446.05823"/>
    <n v="177682765667.944"/>
    <n v="173334245745.79361"/>
    <n v="181752481253.7641"/>
    <n v="188228736215.13174"/>
    <n v="197585738738.42224"/>
    <n v="210847724567.33511"/>
    <n v="219790484416.62503"/>
    <n v="235202261561.93411"/>
    <n v="257512463440.7529"/>
    <n v="263488649928.82538"/>
    <n v="264253410107.15125"/>
    <n v="288739518672.10242"/>
    <n v="290819248892.61896"/>
    <n v="305463844599.1001"/>
    <n v="328835693448.70313"/>
    <n v="313485158693.25616"/>
    <n v="338182356112.35834"/>
    <n v="363139079302.896"/>
    <n v="390656537292.66418"/>
    <n v="400048507437.46277"/>
    <n v="386994250934.20477"/>
    <n v="413825489994.33588"/>
    <n v="390030497194.87982"/>
    <n v="415178579551.81995"/>
    <n v="439106176635.55469"/>
    <n v="482120738379.83417"/>
    <n v="525474505335.92212"/>
    <n v="561984411360.15771"/>
    <n v="590328139721.30017"/>
    <n v="595139459121.40808"/>
    <n v="566434966772.82581"/>
    <n v="614169032343.37354"/>
    <n v="682956643134.52417"/>
    <n v="715659972210.85803"/>
    <n v="776389567770.0907"/>
    <n v="814741000960.49231"/>
    <n v="864313810469.0094"/>
    <n v="893035686216.22205"/>
    <n v="960031200973.59888"/>
    <n v="988958668236.33142"/>
    <n v="997053551434.22559"/>
    <n v="1015597149114.5076"/>
    <n v="1131775214457.3325"/>
    <n v="1194401648109.1248"/>
    <n v="1248351176123.3855"/>
  </r>
  <r>
    <x v="244"/>
    <s v="TUV"/>
    <s v="PIB (US$ a precios constantes de 2015)"/>
    <s v="NY.GDP.MKTP.KD"/>
    <m/>
    <m/>
    <m/>
    <m/>
    <m/>
    <m/>
    <m/>
    <m/>
    <m/>
    <m/>
    <n v="13790394.592345338"/>
    <n v="13571996.113186341"/>
    <n v="13307342.188979227"/>
    <n v="13050443.948020954"/>
    <n v="12831444.448129203"/>
    <n v="12638138.737518119"/>
    <n v="12531333.82704737"/>
    <n v="12062473.971908404"/>
    <n v="11841429.136373196"/>
    <n v="11794442.345560053"/>
    <n v="11719016.886760194"/>
    <n v="12023746.48286665"/>
    <n v="10098852.884678049"/>
    <n v="11005083.547137456"/>
    <n v="11826172.830589388"/>
    <n v="11609150.732975252"/>
    <n v="14231135.471771395"/>
    <n v="15975431.515410936"/>
    <n v="19059808.078091327"/>
    <n v="18688561.136346281"/>
    <n v="21562114.296670891"/>
    <n v="22340330.530646104"/>
    <n v="22963355.18472093"/>
    <n v="23907338.247544881"/>
    <n v="26365819.925987728"/>
    <n v="25046355.115122695"/>
    <n v="23553249.096321534"/>
    <n v="25909351.918565243"/>
    <n v="29925603.601644665"/>
    <n v="29457605.818015218"/>
    <n v="29171722.93326918"/>
    <n v="29171722.93326918"/>
    <n v="31949982.260247201"/>
    <n v="30560852.596758194"/>
    <n v="29866287.765013691"/>
    <n v="28477158.101524685"/>
    <n v="29171722.933269192"/>
    <n v="31255417.428502705"/>
    <n v="33339111.923736218"/>
    <n v="31255417.428502705"/>
    <n v="30560852.596758198"/>
    <n v="32644547.091991711"/>
    <n v="31949982.260247204"/>
    <n v="33339111.923736211"/>
    <n v="33339111.923736211"/>
    <n v="36811936.082458735"/>
    <n v="38895630.577692248"/>
    <n v="39847948.418497145"/>
    <n v="40400752.568082601"/>
    <n v="45984984.358825244"/>
    <n v="44019157.515538767"/>
    <n v="44813322.944155425"/>
    <n v="45116847.77562777"/>
    <n v="46855113.835298158"/>
  </r>
  <r>
    <x v="245"/>
    <s v="TZA"/>
    <s v="PIB (US$ a precios constantes de 2015)"/>
    <s v="NY.GDP.MKTP.KD"/>
    <n v="8038068840.5468054"/>
    <n v="8129565884.8847713"/>
    <n v="8869091956.8743782"/>
    <n v="9424297384.7316704"/>
    <n v="9943685369.9956989"/>
    <n v="10377699460.845133"/>
    <n v="11586045113.728975"/>
    <n v="12225972344.46587"/>
    <n v="12994443432.129419"/>
    <n v="13418275376.668436"/>
    <n v="7187762855.6383591"/>
    <n v="7468190603.7647114"/>
    <n v="7999575904.3493328"/>
    <n v="8494906638.1462364"/>
    <n v="8674437206.5604439"/>
    <n v="9020497424.9633636"/>
    <n v="9318716167.2334213"/>
    <n v="9323337584.1934776"/>
    <n v="9517636648.2156506"/>
    <n v="9755594117.1927032"/>
    <n v="10022700328.264303"/>
    <n v="9924596037.3925629"/>
    <n v="9888107299.5444679"/>
    <n v="9849382580.7353497"/>
    <n v="10309641477.240845"/>
    <n v="10437986617.412868"/>
    <n v="11011628451.393925"/>
    <n v="11539803390.964764"/>
    <n v="12377066378.313482"/>
    <n v="12842994037.827099"/>
    <n v="13747792168.77672"/>
    <n v="14032644802.14658"/>
    <n v="14114640651.419815"/>
    <n v="14284835102.547407"/>
    <n v="14508773000.531698"/>
    <n v="15026723409.850311"/>
    <n v="15709592840.207689"/>
    <n v="16263399690.248701"/>
    <n v="16866529754.087444"/>
    <n v="17686894781.290512"/>
    <n v="18486481203.154339"/>
    <n v="19608760036.073223"/>
    <n v="20999647619.28931"/>
    <n v="22400909970.077427"/>
    <n v="24081832736.071503"/>
    <n v="25882267435.018677"/>
    <n v="27572954444.232079"/>
    <n v="29439239572.279755"/>
    <n v="31113277454.494652"/>
    <n v="32752668789.902798"/>
    <n v="34828049320.634254"/>
    <n v="37500111399.443237"/>
    <n v="39187673997.627243"/>
    <n v="41845219654.681236"/>
    <n v="44662433111.649422"/>
    <n v="47413919817.124046"/>
    <n v="50669888784.255463"/>
    <n v="54096327104.73719"/>
    <n v="57054358529.885757"/>
    <n v="60363511324.600433"/>
    <n v="61565931105.414146"/>
    <n v="64226431583.15387"/>
    <n v="67159014151.451004"/>
    <n v="70643261677.636261"/>
  </r>
  <r>
    <x v="246"/>
    <s v="UGA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n v="4983495458.5672712"/>
    <n v="5269775231.3133583"/>
    <n v="5251611544.9942541"/>
    <n v="5077973310.83708"/>
    <n v="5097781821.6948652"/>
    <n v="5299750981.889246"/>
    <n v="5737885293.3051252"/>
    <n v="6102926184.3106966"/>
    <n v="6498038178.890007"/>
    <n v="6858945424.6522646"/>
    <n v="7093408658.4784794"/>
    <n v="7684026612.979187"/>
    <n v="8176083687.4447603"/>
    <n v="9118233745.0183296"/>
    <n v="9945450357.9559593"/>
    <n v="10452668511.670774"/>
    <n v="10965399652.384596"/>
    <n v="11848547279.74592"/>
    <n v="12220817656.196814"/>
    <n v="12854303430.186293"/>
    <n v="13976829355.947115"/>
    <n v="14881585674.254843"/>
    <n v="15894609936.331923"/>
    <n v="16901146460.521154"/>
    <n v="18723891904.548809"/>
    <n v="20299025448.881229"/>
    <n v="22066817213.655773"/>
    <n v="23567695614.727291"/>
    <n v="24896350765.393162"/>
    <n v="27234530259.537453"/>
    <n v="28279643267.76408"/>
    <n v="29294007439.77264"/>
    <n v="30789849487.572376"/>
    <n v="32387183730.100151"/>
    <n v="33935615078.983269"/>
    <n v="34998276801.874512"/>
    <n v="37204541496.698547"/>
    <n v="39600047064.279991"/>
    <n v="40768765796.474777"/>
    <n v="42210585952.782593"/>
    <n v="44147216889.623978"/>
    <n v="46456943698.424309"/>
  </r>
  <r>
    <x v="247"/>
    <s v="UKR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n v="161845930095.68365"/>
    <n v="165999646444.93802"/>
    <n v="172428984082.68048"/>
    <n v="161487959613.27536"/>
    <n v="147438507127.37"/>
    <n v="132842094918.75014"/>
    <n v="113978517441.13203"/>
    <n v="87877436947.992401"/>
    <n v="77156389639.68837"/>
    <n v="69440750675.719528"/>
    <n v="67357528156.542564"/>
    <n v="66077735120.125694"/>
    <n v="65945579649.815071"/>
    <n v="69836368849.318344"/>
    <n v="75981969310.62291"/>
    <n v="80039138412.886124"/>
    <n v="87656150954.438522"/>
    <n v="97995502972.089966"/>
    <n v="101005170642.60509"/>
    <n v="108652697104.57486"/>
    <n v="117579433691.21692"/>
    <n v="120217318405.03636"/>
    <n v="102020662582.215"/>
    <n v="106195352549.99599"/>
    <n v="111977987704.02756"/>
    <n v="112148546939.27089"/>
    <n v="112199506223.48682"/>
    <n v="100891035818.54814"/>
    <n v="91030967789.071747"/>
    <n v="93253017277.089539"/>
    <n v="95453762636.020248"/>
    <n v="98783535744.14447"/>
    <n v="101944118786.82111"/>
    <n v="98118355717.331909"/>
    <n v="101499146883.26378"/>
    <n v="72309422774.942337"/>
    <n v="76141822182.014282"/>
  </r>
  <r>
    <x v="248"/>
    <s v="UMC"/>
    <s v="PIB (US$ a precios constantes de 2015)"/>
    <s v="NY.GDP.MKTP.KD"/>
    <n v="1169522543319.4614"/>
    <n v="1174335099475.4141"/>
    <n v="1210965085779.3313"/>
    <n v="1265340616574.5513"/>
    <n v="1375912727991.759"/>
    <n v="1481615701647.5146"/>
    <n v="1574351552715.4524"/>
    <n v="1634316215119.3032"/>
    <n v="1748289378821.9124"/>
    <n v="1894286406035.675"/>
    <n v="2053318723337.4116"/>
    <n v="2190319889284.3848"/>
    <n v="2359453264322.1631"/>
    <n v="2542402681736.0659"/>
    <n v="2703952298552.7612"/>
    <n v="2826769032982.5215"/>
    <n v="3012421885353.9541"/>
    <n v="3142299469844.271"/>
    <n v="3261114994613.6035"/>
    <n v="3442624213648.3857"/>
    <n v="3602218787606.1592"/>
    <n v="3668811705489.5161"/>
    <n v="3780792126733.502"/>
    <n v="3835095090169.4927"/>
    <n v="4041001754247.2153"/>
    <n v="4230083543744.5161"/>
    <n v="4385323364643.6538"/>
    <n v="4602128188937.4561"/>
    <n v="4757536409543.2383"/>
    <n v="4899230335415.877"/>
    <n v="5032196720539.5605"/>
    <n v="5186850788290.8262"/>
    <n v="5421216221351.8145"/>
    <n v="5740028486320.8262"/>
    <n v="6056767361014.2471"/>
    <n v="6324293856047.8477"/>
    <n v="6716309179641.2227"/>
    <n v="7124328758731.1553"/>
    <n v="7334798600320.9209"/>
    <n v="7569750405533.9092"/>
    <n v="8020664318010.7686"/>
    <n v="8294959595268.5195"/>
    <n v="8692086564021.8906"/>
    <n v="9202285627349.75"/>
    <n v="9925270558689.6504"/>
    <n v="10669647594456.846"/>
    <n v="11587308558216.203"/>
    <n v="12677524485151.959"/>
    <n v="13471818725053.023"/>
    <n v="13939213608044.293"/>
    <n v="15127529785993.332"/>
    <n v="16177588600458.939"/>
    <n v="17109596179633.531"/>
    <n v="18073798735131.574"/>
    <n v="18965808190405.273"/>
    <n v="19827996310186.031"/>
    <n v="20735670850466.277"/>
    <n v="21846012807061.973"/>
    <n v="22917334484471.559"/>
    <n v="23854693762561.578"/>
    <n v="23712902942260.742"/>
    <n v="25544084890661.5"/>
    <n v="26401639182133.336"/>
    <n v="27549120233805.746"/>
  </r>
  <r>
    <x v="249"/>
    <s v="URY"/>
    <s v="PIB (US$ a precios constantes de 2015)"/>
    <s v="NY.GDP.MKTP.KD"/>
    <n v="16784217051.385168"/>
    <n v="17202653946.725163"/>
    <n v="16931789756.833357"/>
    <n v="16960651491.908276"/>
    <n v="17374579715.811188"/>
    <n v="17556249025.739483"/>
    <n v="18093971640.976563"/>
    <n v="17432305113.645985"/>
    <n v="17761585972.314369"/>
    <n v="18803256921.917599"/>
    <n v="19241977028.435684"/>
    <n v="19193542753.456928"/>
    <n v="18940270547.901455"/>
    <n v="18992394099.986992"/>
    <n v="19542289356.658066"/>
    <n v="20733765993.529938"/>
    <n v="21549737170.434814"/>
    <n v="21863385229.013363"/>
    <n v="23038320347.726604"/>
    <n v="24466492719.2575"/>
    <n v="25896167975.29063"/>
    <n v="26300034208.380722"/>
    <n v="23733710676.158138"/>
    <n v="21295214497.49572"/>
    <n v="21051891660.685219"/>
    <n v="21360625236.648438"/>
    <n v="23242455370.545158"/>
    <n v="25100256718.147984"/>
    <n v="25471975822.887962"/>
    <n v="25753161224.78281"/>
    <n v="25829737832.143951"/>
    <n v="26743802791.241299"/>
    <n v="28865011154.882214"/>
    <n v="29632112135.109703"/>
    <n v="31789727752.351353"/>
    <n v="31329539981.178185"/>
    <n v="33077088488.939522"/>
    <n v="35904413225.126869"/>
    <n v="37526894198.668015"/>
    <n v="36956130432.480545"/>
    <n v="36242902749.571587"/>
    <n v="34849678466.817749"/>
    <n v="32155098813.219547"/>
    <n v="32414038652.102173"/>
    <n v="34036089123.993977"/>
    <n v="36575226344.612656"/>
    <n v="38074290288.913246"/>
    <n v="40564924117.337631"/>
    <n v="43475921755.063148"/>
    <n v="45320819970.798637"/>
    <n v="48857389210.183975"/>
    <n v="51379472633.577858"/>
    <n v="53197370201.039528"/>
    <n v="55664418793.737724"/>
    <n v="57467273107.594612"/>
    <n v="57680327998.668884"/>
    <n v="58655009119.488701"/>
    <n v="59675827109.951027"/>
    <n v="59774004746.247078"/>
    <n v="60329045558.143089"/>
    <n v="55876702366.165993"/>
    <n v="58984504648.277649"/>
    <n v="61761057234.798645"/>
    <n v="61988013788.335449"/>
  </r>
  <r>
    <x v="250"/>
    <s v="USA"/>
    <s v="PIB (US$ a precios constantes de 2015)"/>
    <s v="NY.GDP.MKTP.KD"/>
    <n v="3431221354895.0405"/>
    <n v="3510139446057.6104"/>
    <n v="3724257952267.1309"/>
    <n v="3888125302166.8809"/>
    <n v="4113636569692.5703"/>
    <n v="4376909310152.8906"/>
    <n v="4661408415312.8398"/>
    <n v="4777943625695.6602"/>
    <n v="5007284919729.0303"/>
    <n v="5162510752240.6299"/>
    <n v="5173693085999.999"/>
    <n v="5344048439999.999"/>
    <n v="5624905009999.999"/>
    <n v="5942469133999.999"/>
    <n v="5910347105999.999"/>
    <n v="5898194297999.999"/>
    <n v="6215991005999.999"/>
    <n v="6503430024000"/>
    <n v="6863408304000"/>
    <n v="7080703003000"/>
    <n v="7062521476000"/>
    <n v="7241747173000"/>
    <n v="7111177473000"/>
    <n v="7437138985000"/>
    <n v="7975324064000.001"/>
    <n v="8307861210000.001"/>
    <n v="8595533786000.001"/>
    <n v="8892477646000.002"/>
    <n v="9263914872000.002"/>
    <n v="9604107859000.002"/>
    <n v="9785238028000.002"/>
    <n v="9774639354000.002"/>
    <n v="10118950750000.002"/>
    <n v="10397403618000.002"/>
    <n v="10816317373000.002"/>
    <n v="11106673921000"/>
    <n v="11525703481000.002"/>
    <n v="12038266261000.002"/>
    <n v="12577957790000.002"/>
    <n v="13180243872000.002"/>
    <n v="13717679619000"/>
    <n v="13848757308000.002"/>
    <n v="14084248131000.002"/>
    <n v="14477988212000.002"/>
    <n v="15035068144000.002"/>
    <n v="15558822251000.002"/>
    <n v="15992063824000.002"/>
    <n v="16312522122000.002"/>
    <n v="16331051067000.002"/>
    <n v="15910281498000.002"/>
    <n v="16339094225000.002"/>
    <n v="16594704135000.002"/>
    <n v="16974575729000.002"/>
    <n v="17334068403000"/>
    <n v="17771549056000"/>
    <n v="18295019000000"/>
    <n v="18627887993000"/>
    <n v="19085691123000"/>
    <n v="19651869118000"/>
    <n v="20136688111000"/>
    <n v="19690968695000"/>
    <n v="20833085468000"/>
    <n v="21236308982000"/>
    <n v="21776284673936.199"/>
  </r>
  <r>
    <x v="251"/>
    <s v="UZB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n v="28089418035.292759"/>
    <n v="30656392613.061028"/>
    <n v="31604071830.277775"/>
    <n v="32109736981.406956"/>
    <n v="31951757073.800579"/>
    <n v="28373160282.392498"/>
    <n v="27720577594.651966"/>
    <n v="26279107561.65192"/>
    <n v="26042595592.161831"/>
    <n v="26485319718.026012"/>
    <n v="27862556342.453335"/>
    <n v="29060646265.474972"/>
    <n v="30310254055.411732"/>
    <n v="31472652298.479301"/>
    <n v="32783122633.169392"/>
    <n v="34085756140.08437"/>
    <n v="35528479187.675774"/>
    <n v="38174995817.525017"/>
    <n v="40828160773.797737"/>
    <n v="43870437889.196365"/>
    <n v="48026286797.962059"/>
    <n v="52362657563.843414"/>
    <n v="56578340212.731628"/>
    <n v="60876691748.239761"/>
    <n v="65457747965.273827"/>
    <n v="70106848439.128601"/>
    <n v="75222229947.458664"/>
    <n v="80392884509.657867"/>
    <n v="86196264755.310532"/>
    <n v="91309557166.655228"/>
    <n v="95322862971.733673"/>
    <n v="100927602207.79263"/>
    <n v="106964649250.40005"/>
    <n v="109099219833.86942"/>
    <n v="117176236711.74693"/>
    <n v="123818743202.77151"/>
    <n v="131234217776.52875"/>
  </r>
  <r>
    <x v="252"/>
    <s v="VCT"/>
    <s v="PIB (US$ a precios constantes de 2015)"/>
    <s v="NY.GDP.MKTP.KD"/>
    <n v="159183504.39669979"/>
    <n v="166390192.57311296"/>
    <n v="172537081.89786959"/>
    <n v="161727049.63325"/>
    <n v="167661988.51853323"/>
    <n v="169145688.24913621"/>
    <n v="169145688.24913621"/>
    <n v="153036568.41765326"/>
    <n v="162998798.92437997"/>
    <n v="167661941.86424294"/>
    <n v="185678708.95956597"/>
    <n v="191189746.96590269"/>
    <n v="240576905.31200808"/>
    <n v="213869657.00108868"/>
    <n v="195005088.14787242"/>
    <n v="180167717.60751945"/>
    <n v="198863397.93093318"/>
    <n v="225171854.36120799"/>
    <n v="247187973.63707682"/>
    <n v="255548407.14891344"/>
    <n v="261790739.75987193"/>
    <n v="273869513.39946198"/>
    <n v="286130238.43802577"/>
    <n v="292335247.68509221"/>
    <n v="311589438.03294373"/>
    <n v="330843628.38079524"/>
    <n v="349370013.13275039"/>
    <n v="350900271.05232763"/>
    <n v="400288412.32258713"/>
    <n v="405914909.42932338"/>
    <n v="422757077.38564557"/>
    <n v="427557801.86333328"/>
    <n v="454827184.61263752"/>
    <n v="474160663.71735293"/>
    <n v="468244924.49168223"/>
    <n v="504611870.06481999"/>
    <n v="511110826.9086585"/>
    <n v="529026032.51854354"/>
    <n v="550664228.49623549"/>
    <n v="565588940.07323062"/>
    <n v="574859123.24621344"/>
    <n v="584908988.761765"/>
    <n v="616155570.2108146"/>
    <n v="657384613.72308505"/>
    <n v="684434010.56456983"/>
    <n v="701466543.36769629"/>
    <n v="750547640.19893396"/>
    <n v="775488102.59797299"/>
    <n v="778626043.9272238"/>
    <n v="767895069.57823896"/>
    <n v="733566566.71769881"/>
    <n v="729119123.90060198"/>
    <n v="737643344.41228294"/>
    <n v="755807695.01538575"/>
    <n v="765257213.74560821"/>
    <n v="786555555.55555546"/>
    <n v="819165611.52860069"/>
    <n v="831033933.84893036"/>
    <n v="857424342.54245639"/>
    <n v="863098154.72585154"/>
    <n v="830825654.66751456"/>
    <n v="837088394.19146466"/>
    <n v="897022524.15403759"/>
    <n v="950988378.2629379"/>
  </r>
  <r>
    <x v="253"/>
    <s v="VEN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4"/>
    <s v="VGB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"/>
    <s v="VIR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88209978.6552811"/>
    <n v="4669640875.1334028"/>
    <n v="4823080309.4983978"/>
    <n v="4991179562.4332962"/>
    <n v="5166120064.0341501"/>
    <n v="5373312166.4887934"/>
    <n v="5438792689.4343643"/>
    <n v="5080115795.0907145"/>
    <n v="5110412753.4685163"/>
    <n v="4691141942.3692636"/>
    <n v="3996266542.1558166"/>
    <n v="3745094983.9914622"/>
    <n v="3678637139.8078976"/>
    <n v="3663000000"/>
    <n v="3721639274.2796159"/>
    <n v="3694274279.6157951"/>
    <n v="3764641408.7513337"/>
    <n v="3875078708.6446104"/>
    <n v="3800802294.557097"/>
    <n v="3909284951.9743862"/>
    <m/>
    <m/>
  </r>
  <r>
    <x v="256"/>
    <s v="VNM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n v="34363462779.813576"/>
    <n v="35671286575.777802"/>
    <n v="36666262766.85675"/>
    <n v="37980187158.042358"/>
    <n v="39930474201.495033"/>
    <n v="42871159122.682785"/>
    <n v="45057981854.807144"/>
    <n v="47743817832.16629"/>
    <n v="51871770980.838951"/>
    <n v="56059239339.343399"/>
    <n v="61014304826.63842"/>
    <n v="66835362482.484627"/>
    <n v="73077797034.13063"/>
    <n v="79035160538.462555"/>
    <n v="83591107164.247055"/>
    <n v="87581401291.570099"/>
    <n v="93525828108.838959"/>
    <n v="99317782863.096024"/>
    <n v="105595482130.70657"/>
    <n v="112880581486.05913"/>
    <n v="121387725604.56688"/>
    <n v="130549157968.49275"/>
    <n v="139658819217.11005"/>
    <n v="149615800998.3645"/>
    <n v="158086705343.27539"/>
    <n v="166620063722.29129"/>
    <n v="177322478338.40433"/>
    <n v="188694468366.26761"/>
    <n v="199081239731.68829"/>
    <n v="210137237901.38867"/>
    <n v="223632762207.56018"/>
    <n v="239258328381.74139"/>
    <n v="255264731908.12396"/>
    <n v="272980590259.18723"/>
    <n v="293358610036.84094"/>
    <n v="314947640805.60107"/>
    <n v="323972192107.06519"/>
    <n v="332245562394.77014"/>
    <n v="359235578724.11224"/>
    <n v="377364153384.16687"/>
  </r>
  <r>
    <x v="257"/>
    <s v="VUT"/>
    <s v="PIB (US$ a precios constantes de 2015)"/>
    <s v="NY.GDP.MKTP.KD"/>
    <m/>
    <m/>
    <m/>
    <m/>
    <m/>
    <m/>
    <m/>
    <m/>
    <m/>
    <m/>
    <m/>
    <m/>
    <m/>
    <m/>
    <m/>
    <m/>
    <m/>
    <m/>
    <m/>
    <n v="332998066.53956163"/>
    <n v="295036930.61344135"/>
    <n v="307953519.61656111"/>
    <n v="314050639.35452664"/>
    <n v="323502399.26960576"/>
    <n v="354477726.45244277"/>
    <n v="358028258.02676004"/>
    <n v="357489556.68444985"/>
    <n v="347144042.26962876"/>
    <n v="341267300.35351741"/>
    <n v="346495152.01639146"/>
    <n v="387020184.81290942"/>
    <n v="399202181.07651532"/>
    <n v="409523209.06668586"/>
    <n v="412535039.29869294"/>
    <n v="449999269.01390296"/>
    <n v="454517014.36191356"/>
    <n v="465095149.81091398"/>
    <n v="487916497.58514643"/>
    <n v="493658564.16568029"/>
    <n v="495323641.0419119"/>
    <n v="524670620.985493"/>
    <n v="506844503.83995515"/>
    <n v="480497110.91605586"/>
    <n v="501102437.25942135"/>
    <n v="521083359.77420008"/>
    <n v="548728533.20457399"/>
    <n v="595154794.34185386"/>
    <n v="612270805.17252827"/>
    <n v="646564042.89550316"/>
    <n v="666202155.46517539"/>
    <n v="674588755.90795934"/>
    <n v="695769513.23061073"/>
    <n v="702797117.10529387"/>
    <n v="706053811.58380556"/>
    <n v="728201782.68015027"/>
    <n v="730870802.96705091"/>
    <n v="765139554.26537538"/>
    <n v="813475756.52539146"/>
    <n v="837068426.67611361"/>
    <n v="864199385.18882775"/>
    <n v="821054304.95471013"/>
    <n v="808309120.92414355"/>
    <n v="823796784.51556206"/>
    <n v="842026927.66783249"/>
  </r>
  <r>
    <x v="258"/>
    <s v="WLD"/>
    <s v="PIB (US$ a precios constantes de 2015)"/>
    <s v="NY.GDP.MKTP.KD"/>
    <n v="11065150325078.67"/>
    <n v="11504406672190.113"/>
    <n v="12116326539171.988"/>
    <n v="12724416382131.777"/>
    <n v="13562090737377.215"/>
    <n v="14320993882685.797"/>
    <n v="15099822641855.943"/>
    <n v="15663881536261.398"/>
    <n v="16592072975061.564"/>
    <n v="17584101722075.207"/>
    <n v="18240991629750.152"/>
    <n v="19026660149871.141"/>
    <n v="20099274901104.348"/>
    <n v="21387268547893.09"/>
    <n v="21796684795581.941"/>
    <n v="21911481867006.414"/>
    <n v="23054003896256.512"/>
    <n v="23980413102398.238"/>
    <n v="24961023533235.016"/>
    <n v="26004986260299.957"/>
    <n v="26494285470627.16"/>
    <n v="27004675633280.391"/>
    <n v="27084754622366.984"/>
    <n v="27785220247129.563"/>
    <n v="29083990581629.781"/>
    <n v="30160913843677.375"/>
    <n v="31171713892672.313"/>
    <n v="32332743811680.52"/>
    <n v="33817374892961.648"/>
    <n v="35074428995817.406"/>
    <n v="36044076008699.156"/>
    <n v="36496727027868.438"/>
    <n v="37233689598548.82"/>
    <n v="37908727457697.867"/>
    <n v="39168791739111.453"/>
    <n v="40376997999962.938"/>
    <n v="41820349066965.867"/>
    <n v="43463769120916.117"/>
    <n v="44704192643432.742"/>
    <n v="46291065127200.094"/>
    <n v="48388557167110.922"/>
    <n v="49368620392265.25"/>
    <n v="50505499243552.281"/>
    <n v="52073329170330.5"/>
    <n v="54400621045246.602"/>
    <n v="56579836978678.852"/>
    <n v="59093561843411.609"/>
    <n v="61677886808801.617"/>
    <n v="62949990715747.688"/>
    <n v="62096526015584.391"/>
    <n v="64909216709023.813"/>
    <n v="67068832481271.461"/>
    <n v="68885804388550.398"/>
    <n v="70861602283288.797"/>
    <n v="73075226555102.313"/>
    <n v="75359657218242.5"/>
    <n v="77485219519915.828"/>
    <n v="80166393396326.797"/>
    <n v="82801152494085.719"/>
    <n v="84988938153813.891"/>
    <n v="82497025649488.25"/>
    <n v="87661216769258.719"/>
    <n v="90369604265987.188"/>
    <n v="92827055067884.391"/>
  </r>
  <r>
    <x v="259"/>
    <s v="WSM"/>
    <s v="PIB (US$ a precios constantes de 2015)"/>
    <s v="NY.GDP.MKTP.KD"/>
    <m/>
    <m/>
    <m/>
    <m/>
    <m/>
    <m/>
    <m/>
    <m/>
    <m/>
    <m/>
    <n v="340680797.94042516"/>
    <n v="386718743.74512488"/>
    <n v="392857136.60361415"/>
    <n v="421502969.23881924"/>
    <n v="376488089.26274049"/>
    <n v="362165172.73381448"/>
    <n v="395926332.82153529"/>
    <n v="392857136.60361415"/>
    <n v="417410707.61492461"/>
    <n v="462946425.61615789"/>
    <n v="434275788.35611969"/>
    <n v="395064495.99768674"/>
    <n v="391269846.04263473"/>
    <n v="392956359.84105378"/>
    <n v="398015901.23631054"/>
    <n v="413616119.99863994"/>
    <n v="436383943.35628557"/>
    <n v="438492096.87768167"/>
    <n v="432167726.58189911"/>
    <n v="448189539.91671503"/>
    <n v="428373059.2661553"/>
    <n v="418520425.96974754"/>
    <n v="417683438.91831446"/>
    <n v="434808422.36480433"/>
    <n v="423755155.36883372"/>
    <n v="452035062.25303233"/>
    <n v="484486518.41784436"/>
    <n v="487603825.81991935"/>
    <n v="498306192.05675608"/>
    <n v="509196346.8656047"/>
    <n v="535129944.38376307"/>
    <n v="574676737.92168653"/>
    <n v="607157232.67460978"/>
    <n v="638806086.21338105"/>
    <n v="658527692.51076317"/>
    <n v="702248686.8645916"/>
    <n v="717221521.75509202"/>
    <n v="720707093.19579005"/>
    <n v="746336191.82241476"/>
    <n v="742293455.83692753"/>
    <n v="787756851.01082063"/>
    <n v="818078226.23593998"/>
    <n v="787546481.62213337"/>
    <n v="788391466.046139"/>
    <n v="793594248.72163308"/>
    <n v="824150498.65353644"/>
    <n v="889949544.37827229"/>
    <n v="902464748.18719006"/>
    <n v="896962897.99083996"/>
    <n v="936894420.74621236"/>
    <n v="907771582.23952401"/>
    <n v="843511966.58496284"/>
    <n v="798752767.86443937"/>
    <n v="862588950.43963635"/>
  </r>
  <r>
    <x v="260"/>
    <s v="XKX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80661082.4986258"/>
    <n v="4811290686.5768366"/>
    <n v="5048966087.0182056"/>
    <n v="5368051162.2426882"/>
    <n v="5459962717.3145866"/>
    <n v="5751568358.0188046"/>
    <n v="5944177154.3653564"/>
    <n v="6295848422.7157335"/>
    <n v="6646638934.1494665"/>
    <n v="6967382841.6084557"/>
    <n v="7204735953.9043493"/>
    <n v="7547450874.8323107"/>
    <n v="7144396206.5297956"/>
    <n v="7912108452.0159626"/>
    <n v="8250627894.0935287"/>
    <n v="8526025165.2320433"/>
  </r>
  <r>
    <x v="261"/>
    <s v="YEM"/>
    <s v="PIB (US$ a precios constantes de 2015)"/>
    <s v="NY.GDP.MKTP.K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917787989.503506"/>
    <n v="25423052508.05381"/>
    <n v="27509674492.131042"/>
    <n v="28610602416.90192"/>
    <n v="30533792554.954456"/>
    <n v="32264866633.670834"/>
    <n v="33760332656.914936"/>
    <n v="35526373483.411186"/>
    <n v="37660334240.559898"/>
    <n v="39082211644.755348"/>
    <n v="41498240980.469254"/>
    <n v="43076687110.426216"/>
    <n v="44771854473.025642"/>
    <n v="46449634134.8899"/>
    <n v="48294937078.529343"/>
    <n v="50995468293.246017"/>
    <n v="52612233392.795013"/>
    <n v="54368654900.682869"/>
    <n v="56351789358.158516"/>
    <n v="58530478871.048714"/>
    <n v="63038676065.456001"/>
    <n v="55023373399.500702"/>
    <n v="56340077337.806602"/>
    <n v="59057651710.279556"/>
    <n v="58946215689.987373"/>
    <n v="42444490073.855453"/>
    <n v="38465266575.675377"/>
    <n v="36514386863.022606"/>
    <n v="36789138486.092728"/>
    <m/>
    <m/>
    <m/>
    <m/>
    <m/>
  </r>
  <r>
    <x v="262"/>
    <s v="ZAF"/>
    <s v="PIB (US$ a precios constantes de 2015)"/>
    <s v="NY.GDP.MKTP.KD"/>
    <n v="65652787805.924767"/>
    <n v="68176962953.703857"/>
    <n v="72388888580.905228"/>
    <n v="77726634753.27887"/>
    <n v="83897825365.467575"/>
    <n v="89034719819.541916"/>
    <n v="92986424438.810074"/>
    <n v="99678213920.999008"/>
    <n v="103818221927.8644"/>
    <n v="108714188432.45987"/>
    <n v="114420228110.93791"/>
    <n v="119316194615.53339"/>
    <n v="121290674451.49692"/>
    <n v="126836017069.92215"/>
    <n v="134587120944.56262"/>
    <n v="136868956455.65886"/>
    <n v="139948316809.93564"/>
    <n v="139816794618.76505"/>
    <n v="144031543620.37436"/>
    <n v="149491087027.62451"/>
    <n v="159388269160.57867"/>
    <n v="167932741243.85461"/>
    <n v="167288855024.707"/>
    <n v="164199769714.13614"/>
    <n v="172572564947.99503"/>
    <n v="170481777771.8371"/>
    <n v="170512207473.78952"/>
    <n v="174094206899.74924"/>
    <n v="181406354481.0195"/>
    <n v="185750664997.12723"/>
    <n v="185160422891.73077"/>
    <n v="183275036203.75162"/>
    <n v="179358388483.38223"/>
    <n v="181570878123.14905"/>
    <n v="187381146228.4856"/>
    <n v="193189961762.58823"/>
    <n v="201497130113.10135"/>
    <n v="206736055498.99084"/>
    <n v="207769735777.19165"/>
    <n v="212756209430.57394"/>
    <n v="221691970228.1011"/>
    <n v="227677653424.68335"/>
    <n v="236102579035.78998"/>
    <n v="243065422272.36871"/>
    <n v="254135982543.49551"/>
    <n v="267546870424.2948"/>
    <n v="282539679229.87378"/>
    <n v="297685145427.08105"/>
    <n v="307184409060.74091"/>
    <n v="302459639039.77777"/>
    <n v="311653604140.26941"/>
    <n v="321528523981.70227"/>
    <n v="329233094599.26294"/>
    <n v="337416077838.15137"/>
    <n v="342186555600.7309"/>
    <n v="346709790458.56305"/>
    <n v="349013858372.62543"/>
    <n v="353055253707.07135"/>
    <n v="358551560868.5332"/>
    <n v="359483563936.6759"/>
    <n v="338046271405.10669"/>
    <n v="353944797357.22485"/>
    <n v="360706580604.58551"/>
    <n v="362876816124.89606"/>
  </r>
  <r>
    <x v="263"/>
    <s v="ZMB"/>
    <s v="PIB (US$ a precios constantes de 2015)"/>
    <s v="NY.GDP.MKTP.KD"/>
    <n v="3745698444.1159267"/>
    <n v="3796691708.1890759"/>
    <n v="3702122212.3945851"/>
    <n v="3823270196.5529876"/>
    <n v="4290246254.2152629"/>
    <n v="5004463110.0991259"/>
    <n v="4725699010.609272"/>
    <n v="5099960030.3200541"/>
    <n v="5163624360.4601822"/>
    <n v="5141063668.5844936"/>
    <n v="5387686297.1913204"/>
    <n v="5383050756.0990705"/>
    <n v="5878768640.7704821"/>
    <n v="5822212020.1687689"/>
    <n v="6196473039.8795509"/>
    <n v="6055854684.9059591"/>
    <n v="6432587907.0637646"/>
    <n v="6138989402.8617058"/>
    <n v="6172984906.5769958"/>
    <n v="5986318100.4346085"/>
    <n v="6168040110.67307"/>
    <n v="6548482197.515583"/>
    <n v="6364287627.8210793"/>
    <n v="6239121864.1748829"/>
    <n v="6218106324.3292294"/>
    <n v="6318548040.4540815"/>
    <n v="6364287627.8210773"/>
    <n v="6534574435.2100601"/>
    <n v="6944994654.2903757"/>
    <n v="6873912509.7786865"/>
    <n v="6840844039.4799566"/>
    <n v="6838372211.0423794"/>
    <n v="6720005310.1332302"/>
    <n v="7176782487.1751213"/>
    <n v="6557753279.7000818"/>
    <n v="6747775256.5929832"/>
    <n v="7167388797.8936062"/>
    <n v="7440753543.9975624"/>
    <n v="7412051123.9838333"/>
    <n v="7756725565.3473358"/>
    <n v="8059030210.4636612"/>
    <n v="8487518230.9307222"/>
    <n v="8869967014.4617367"/>
    <n v="9485983915.8469124"/>
    <n v="10153075785.369053"/>
    <n v="10887711636.030037"/>
    <n v="11748243095.772873"/>
    <n v="12729507610.193129"/>
    <n v="13719086269.625965"/>
    <n v="14984033821.786844"/>
    <n v="16527123087.716316"/>
    <n v="17447560246.652241"/>
    <n v="18773117886.68536"/>
    <n v="19722575258.93124"/>
    <n v="20648211567.061584"/>
    <n v="21251216798.776245"/>
    <n v="22049221308.35751"/>
    <n v="22826646593.61689"/>
    <n v="23747586257.251171"/>
    <n v="24089861649.015469"/>
    <n v="23418945736.899265"/>
    <n v="24879098747.886101"/>
    <n v="26185157469.501656"/>
    <n v="27712400006.147942"/>
  </r>
  <r>
    <x v="264"/>
    <s v="ZWE"/>
    <s v="PIB (US$ a precios constantes de 2015)"/>
    <s v="NY.GDP.MKTP.KD"/>
    <n v="4329261158.0061502"/>
    <n v="4602704101.2805853"/>
    <n v="4668728551.6653214"/>
    <n v="4960260046.5702267"/>
    <n v="4905391045.7798433"/>
    <n v="5146273735.6627274"/>
    <n v="5224658176.1899652"/>
    <n v="5661805792.2923622"/>
    <n v="5773351008.1019335"/>
    <n v="6490876687.0339317"/>
    <n v="7955552802.2118216"/>
    <n v="8664996116.2271805"/>
    <n v="9386770772.845705"/>
    <n v="9631269370.7578087"/>
    <n v="10269355761.896816"/>
    <n v="10071031576.961948"/>
    <n v="10117845649.885166"/>
    <n v="9423690290.2852573"/>
    <n v="9168598298.9407215"/>
    <n v="9470890230.4466381"/>
    <n v="10836657373.916651"/>
    <n v="12193994749.772444"/>
    <n v="12515220805.53686"/>
    <n v="12713625284.533165"/>
    <n v="12471130667.344692"/>
    <n v="13337174339.890369"/>
    <n v="13617125513.746317"/>
    <n v="13773822843.033905"/>
    <n v="14814073528.505032"/>
    <n v="15584370752.864935"/>
    <n v="16673492752.131441"/>
    <n v="17595834085.31657"/>
    <n v="16009469333.075943"/>
    <n v="16177802282.753162"/>
    <n v="17671854489.11438"/>
    <n v="17699780558.60833"/>
    <n v="19533601150.579639"/>
    <n v="20057217725.915737"/>
    <n v="20635910937.7327"/>
    <n v="20467146117.723465"/>
    <n v="19841017281.739079"/>
    <n v="20126651621.203857"/>
    <n v="18336582469.8018"/>
    <n v="15220266576.559568"/>
    <n v="14336343807.96356"/>
    <n v="13517583212.638626"/>
    <n v="13049672720.224417"/>
    <n v="12572925524.81045"/>
    <n v="10351422061.707565"/>
    <n v="11595617444.663561"/>
    <n v="14083116362.768656"/>
    <n v="16142097162.996229"/>
    <n v="18683650519.498657"/>
    <n v="19280916546.448841"/>
    <n v="19567149970.420227"/>
    <n v="19963120600"/>
    <n v="20142979412.317272"/>
    <n v="20964866130.333355"/>
    <n v="22015177994.760704"/>
    <n v="20621078646.829449"/>
    <n v="19009139106.166161"/>
    <n v="20618836217.76371"/>
    <n v="21963674104.637321"/>
    <n v="23052145847.3306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QCL"/>
    <s v="Cultivos y productos de ganadería"/>
    <s v="032"/>
    <x v="0"/>
    <s v="5417"/>
    <s v="Rendimiento/Peso en carcasa"/>
    <s v="21111.01"/>
    <s v="Carne, ganado vacuno, fresca o refrigerada"/>
    <s v="2014"/>
    <x v="0"/>
    <s v="100 g/Cabeza"/>
    <n v="2210"/>
    <s v="A"/>
    <s v="Cifra oficial"/>
    <m/>
  </r>
  <r>
    <s v="QCL"/>
    <s v="Cultivos y productos de ganadería"/>
    <s v="032"/>
    <x v="0"/>
    <s v="5417"/>
    <s v="Rendimiento/Peso en carcasa"/>
    <s v="21111.01"/>
    <s v="Carne, ganado vacuno, fresca o refrigerada"/>
    <s v="2018"/>
    <x v="1"/>
    <s v="100 g/Cabeza"/>
    <n v="2279"/>
    <s v="A"/>
    <s v="Cifra oficial"/>
    <m/>
  </r>
  <r>
    <s v="QCL"/>
    <s v="Cultivos y productos de ganadería"/>
    <s v="032"/>
    <x v="0"/>
    <s v="5417"/>
    <s v="Rendimiento/Peso en carcasa"/>
    <s v="21111.01"/>
    <s v="Carne, ganado vacuno, fresca o refrigerada"/>
    <s v="2023"/>
    <x v="2"/>
    <s v="100 g/Cabeza"/>
    <n v="2264"/>
    <s v="A"/>
    <s v="Cifra oficial"/>
    <m/>
  </r>
  <r>
    <s v="QCL"/>
    <s v="Cultivos y productos de ganadería"/>
    <s v="068"/>
    <x v="1"/>
    <s v="5417"/>
    <s v="Rendimiento/Peso en carcasa"/>
    <s v="21111.01"/>
    <s v="Carne, ganado vacuno, fresca o refrigerada"/>
    <s v="2014"/>
    <x v="0"/>
    <s v="100 g/Cabeza"/>
    <n v="1947"/>
    <s v="A"/>
    <s v="Cifra oficial"/>
    <m/>
  </r>
  <r>
    <s v="QCL"/>
    <s v="Cultivos y productos de ganadería"/>
    <s v="068"/>
    <x v="1"/>
    <s v="5417"/>
    <s v="Rendimiento/Peso en carcasa"/>
    <s v="21111.01"/>
    <s v="Carne, ganado vacuno, fresca o refrigerada"/>
    <s v="2018"/>
    <x v="1"/>
    <s v="100 g/Cabeza"/>
    <n v="1948"/>
    <s v="A"/>
    <s v="Cifra oficial"/>
    <m/>
  </r>
  <r>
    <s v="QCL"/>
    <s v="Cultivos y productos de ganadería"/>
    <s v="068"/>
    <x v="1"/>
    <s v="5417"/>
    <s v="Rendimiento/Peso en carcasa"/>
    <s v="21111.01"/>
    <s v="Carne, ganado vacuno, fresca o refrigerada"/>
    <s v="2023"/>
    <x v="2"/>
    <s v="100 g/Cabeza"/>
    <n v="2008"/>
    <s v="A"/>
    <s v="Cifra oficial"/>
    <m/>
  </r>
  <r>
    <s v="QCL"/>
    <s v="Cultivos y productos de ganadería"/>
    <s v="076"/>
    <x v="2"/>
    <s v="5417"/>
    <s v="Rendimiento/Peso en carcasa"/>
    <s v="21111.01"/>
    <s v="Carne, ganado vacuno, fresca o refrigerada"/>
    <s v="2014"/>
    <x v="0"/>
    <s v="100 g/Cabeza"/>
    <n v="2408"/>
    <s v="X"/>
    <s v="Cifra de fuentes internacionales"/>
    <m/>
  </r>
  <r>
    <s v="QCL"/>
    <s v="Cultivos y productos de ganadería"/>
    <s v="076"/>
    <x v="2"/>
    <s v="5417"/>
    <s v="Rendimiento/Peso en carcasa"/>
    <s v="21111.01"/>
    <s v="Carne, ganado vacuno, fresca o refrigerada"/>
    <s v="2018"/>
    <x v="1"/>
    <s v="100 g/Cabeza"/>
    <n v="2500"/>
    <s v="X"/>
    <s v="Cifra de fuentes internacionales"/>
    <m/>
  </r>
  <r>
    <s v="QCL"/>
    <s v="Cultivos y productos de ganadería"/>
    <s v="076"/>
    <x v="2"/>
    <s v="5417"/>
    <s v="Rendimiento/Peso en carcasa"/>
    <s v="21111.01"/>
    <s v="Carne, ganado vacuno, fresca o refrigerada"/>
    <s v="2023"/>
    <x v="2"/>
    <s v="100 g/Cabeza"/>
    <n v="2450"/>
    <s v="X"/>
    <s v="Cifra de fuentes internacionales"/>
    <m/>
  </r>
  <r>
    <s v="QCL"/>
    <s v="Cultivos y productos de ganadería"/>
    <s v="600"/>
    <x v="3"/>
    <s v="5417"/>
    <s v="Rendimiento/Peso en carcasa"/>
    <s v="21111.01"/>
    <s v="Carne, ganado vacuno, fresca o refrigerada"/>
    <s v="2014"/>
    <x v="0"/>
    <s v="100 g/Cabeza"/>
    <n v="2340"/>
    <s v="A"/>
    <s v="Cifra oficial"/>
    <m/>
  </r>
  <r>
    <s v="QCL"/>
    <s v="Cultivos y productos de ganadería"/>
    <s v="600"/>
    <x v="3"/>
    <s v="5417"/>
    <s v="Rendimiento/Peso en carcasa"/>
    <s v="21111.01"/>
    <s v="Carne, ganado vacuno, fresca o refrigerada"/>
    <s v="2018"/>
    <x v="1"/>
    <s v="100 g/Cabeza"/>
    <n v="2343"/>
    <s v="A"/>
    <s v="Cifra oficial"/>
    <m/>
  </r>
  <r>
    <s v="QCL"/>
    <s v="Cultivos y productos de ganadería"/>
    <s v="600"/>
    <x v="3"/>
    <s v="5417"/>
    <s v="Rendimiento/Peso en carcasa"/>
    <s v="21111.01"/>
    <s v="Carne, ganado vacuno, fresca o refrigerada"/>
    <s v="2023"/>
    <x v="2"/>
    <s v="100 g/Cabeza"/>
    <n v="2274"/>
    <s v="E"/>
    <s v="Valor estimado"/>
    <m/>
  </r>
  <r>
    <s v="QCL"/>
    <s v="Cultivos y productos de ganadería"/>
    <s v="604"/>
    <x v="4"/>
    <s v="5417"/>
    <s v="Rendimiento/Peso en carcasa"/>
    <s v="21111.01"/>
    <s v="Carne, ganado vacuno, fresca o refrigerada"/>
    <s v="2014"/>
    <x v="0"/>
    <s v="100 g/Cabeza"/>
    <n v="1426"/>
    <s v="A"/>
    <s v="Cifra oficial"/>
    <m/>
  </r>
  <r>
    <s v="QCL"/>
    <s v="Cultivos y productos de ganadería"/>
    <s v="604"/>
    <x v="4"/>
    <s v="5417"/>
    <s v="Rendimiento/Peso en carcasa"/>
    <s v="21111.01"/>
    <s v="Carne, ganado vacuno, fresca o refrigerada"/>
    <s v="2018"/>
    <x v="1"/>
    <s v="100 g/Cabeza"/>
    <n v="1407"/>
    <s v="A"/>
    <s v="Cifra oficial"/>
    <m/>
  </r>
  <r>
    <s v="QCL"/>
    <s v="Cultivos y productos de ganadería"/>
    <s v="604"/>
    <x v="4"/>
    <s v="5417"/>
    <s v="Rendimiento/Peso en carcasa"/>
    <s v="21111.01"/>
    <s v="Carne, ganado vacuno, fresca o refrigerada"/>
    <s v="2023"/>
    <x v="2"/>
    <s v="100 g/Cabeza"/>
    <n v="1478"/>
    <s v="A"/>
    <s v="Cifra ofici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D40D0-E00D-426A-9D31-C3B3D62A2D3C}" name="TablaDinámica1" cacheId="1" dataOnRows="1" applyNumberFormats="0" applyBorderFormats="0" applyFontFormats="0" applyPatternFormats="0" applyAlignmentFormats="0" applyWidthHeightFormats="1" dataCaption="Datos" updatedVersion="8" showMemberPropertyTips="0" useAutoFormatting="1" itemPrintTitles="1" createdVersion="1" indent="0" compact="0" compactData="0" gridDropZones="1">
  <location ref="A3:E10" firstHeaderRow="1" firstDataRow="2" firstDataCol="1"/>
  <pivotFields count="15"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0"/>
        <item x="1"/>
        <item x="2"/>
        <item x="3"/>
        <item x="4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dataField="1" compact="0" numFmtId="17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a de Valor" fld="11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4D8EA-3867-4797-8F76-2C0D0EBF5EAE}" name="TablaDinámica2" cacheId="0" applyNumberFormats="0" applyBorderFormats="0" applyFontFormats="0" applyPatternFormats="0" applyAlignmentFormats="0" applyWidthHeightFormats="1" dataCaption="Datos" updatedVersion="8" showMemberPropertyTips="0" useAutoFormatting="1" itemPrintTitles="1" createdVersion="1" indent="0" compact="0" compactData="0" gridDropZones="1">
  <location ref="A1:I6" firstHeaderRow="1" firstDataRow="2" firstDataCol="1"/>
  <pivotFields count="68">
    <pivotField axis="axisRow" compact="0" outline="0" showAll="0" includeNewItemsInFilter="1" sortType="descending">
      <items count="266">
        <item h="1" x="155"/>
        <item h="1" x="2"/>
        <item h="1" x="216"/>
        <item h="1" x="240"/>
        <item h="1" x="214"/>
        <item h="1" x="4"/>
        <item h="1" x="54"/>
        <item h="1" x="169"/>
        <item h="1" x="133"/>
        <item h="1" x="235"/>
        <item h="1" x="127"/>
        <item h="1" x="5"/>
        <item h="1" x="3"/>
        <item h="1" x="11"/>
        <item h="1" x="204"/>
        <item h="1" x="59"/>
        <item h="1" x="8"/>
        <item h="1" x="9"/>
        <item h="1" x="0"/>
        <item h="1" x="203"/>
        <item h="1" x="239"/>
        <item h="1" x="62"/>
        <item h="1" x="229"/>
        <item h="1" x="60"/>
        <item h="1" x="12"/>
        <item h="1" x="13"/>
        <item h="1" x="141"/>
        <item h="1" x="14"/>
        <item h="1" x="22"/>
        <item h="1" x="21"/>
        <item h="1" x="19"/>
        <item h="1" x="29"/>
        <item h="1" x="24"/>
        <item h="1" x="16"/>
        <item h="1" x="25"/>
        <item h="1" x="17"/>
        <item h="1" x="26"/>
        <item h="1" x="31"/>
        <item h="1" x="102"/>
        <item h="1" x="27"/>
        <item h="1" x="23"/>
        <item h="1" x="32"/>
        <item h="1" x="28"/>
        <item h="1" x="30"/>
        <item h="1" x="20"/>
        <item h="1" x="18"/>
        <item h="1" x="15"/>
        <item h="1" x="46"/>
        <item h="1" x="122"/>
        <item h="1" x="41"/>
        <item h="1" x="34"/>
        <item h="1" x="228"/>
        <item h="1" x="38"/>
        <item x="39"/>
        <item h="1" x="52"/>
        <item h="1" x="44"/>
        <item h="1" x="45"/>
        <item h="1" x="43"/>
        <item h="1" x="42"/>
        <item h="1" x="125"/>
        <item h="1" x="192"/>
        <item h="1" x="47"/>
        <item h="1" x="40"/>
        <item h="1" x="98"/>
        <item h="1" x="49"/>
        <item h="1" x="50"/>
        <item h="1" x="57"/>
        <item h="1" x="55"/>
        <item h="1" x="56"/>
        <item x="65"/>
        <item h="1" x="66"/>
        <item h="1" x="6"/>
        <item h="1" x="210"/>
        <item h="1" x="7"/>
        <item h="1" x="68"/>
        <item h="1" x="221"/>
        <item h="1" x="69"/>
        <item h="1" x="196"/>
        <item h="1" x="48"/>
        <item h="1" x="250"/>
        <item h="1" x="70"/>
        <item h="1" x="223"/>
        <item h="1" x="71"/>
        <item h="1" x="35"/>
        <item h="1" x="64"/>
        <item h="1" x="230"/>
        <item h="1" x="63"/>
        <item h="1" x="201"/>
        <item h="1" x="75"/>
        <item h="1" x="186"/>
        <item h="1" x="74"/>
        <item h="1" x="73"/>
        <item h="1" x="76"/>
        <item h="1" x="79"/>
        <item h="1" x="85"/>
        <item h="1" x="81"/>
        <item h="1" x="82"/>
        <item h="1" x="83"/>
        <item h="1" x="89"/>
        <item h="1" x="88"/>
        <item h="1" x="90"/>
        <item h="1" x="92"/>
        <item h="1" x="91"/>
        <item h="1" x="84"/>
        <item h="1" x="87"/>
        <item h="1" x="86"/>
        <item h="1" x="93"/>
        <item h="1" x="99"/>
        <item h="1" x="96"/>
        <item h="1" x="95"/>
        <item h="1" x="100"/>
        <item h="1" x="108"/>
        <item h="1" x="105"/>
        <item h="1" x="94"/>
        <item h="1" x="248"/>
        <item h="1" x="139"/>
        <item h="1" x="61"/>
        <item h="1" x="111"/>
        <item h="1" x="112"/>
        <item h="1" x="110"/>
        <item h="1" x="107"/>
        <item h="1" x="146"/>
        <item h="1" x="113"/>
        <item h="1" x="51"/>
        <item h="1" x="37"/>
        <item h="1" x="77"/>
        <item h="1" x="154"/>
        <item h="1" x="208"/>
        <item h="1" x="227"/>
        <item h="1" x="255"/>
        <item h="1" x="254"/>
        <item h="1" x="114"/>
        <item h="1" x="115"/>
        <item h="1" x="116"/>
        <item h="1" x="118"/>
        <item h="1" x="117"/>
        <item h="1" x="119"/>
        <item h="1" x="120"/>
        <item h="1" x="121"/>
        <item h="1" x="123"/>
        <item h="1" x="260"/>
        <item h="1" x="126"/>
        <item h="1" x="140"/>
        <item h="1" x="144"/>
        <item h="1" x="129"/>
        <item h="1" x="130"/>
        <item h="1" x="131"/>
        <item h="1" x="136"/>
        <item h="1" x="142"/>
        <item h="1" x="143"/>
        <item h="1" x="156"/>
        <item h="1" x="150"/>
        <item h="1" x="168"/>
        <item h="1" x="167"/>
        <item h="1" x="151"/>
        <item h="1" x="157"/>
        <item h="1" x="158"/>
        <item h="1" x="163"/>
        <item h="1" x="147"/>
        <item h="1" x="166"/>
        <item h="1" x="165"/>
        <item h="1" x="153"/>
        <item h="1" x="104"/>
        <item h="1" x="78"/>
        <item h="1" x="180"/>
        <item h="1" x="148"/>
        <item h="1" x="162"/>
        <item h="1" x="161"/>
        <item h="1" x="164"/>
        <item h="1" x="258"/>
        <item h="1" x="159"/>
        <item h="1" x="170"/>
        <item h="1" x="178"/>
        <item h="1" x="177"/>
        <item h="1" x="174"/>
        <item h="1" x="172"/>
        <item h="1" x="173"/>
        <item h="1" x="109"/>
        <item h="1" x="176"/>
        <item h="1" x="171"/>
        <item h="1" x="179"/>
        <item h="1" x="181"/>
        <item h="1" x="152"/>
        <item h="1" x="237"/>
        <item h="1" x="160"/>
        <item h="1" x="182"/>
        <item h="1" x="175"/>
        <item h="1" x="135"/>
        <item h="1" x="138"/>
        <item h="1" x="134"/>
        <item h="1" x="97"/>
        <item h="1" x="183"/>
        <item h="1" x="187"/>
        <item h="1" x="184"/>
        <item h="1" x="188"/>
        <item h="1" x="194"/>
        <item h="1" x="217"/>
        <item x="185"/>
        <item h="1" x="198"/>
        <item h="1" x="189"/>
        <item h="1" x="193"/>
        <item h="1" x="197"/>
        <item h="1" x="190"/>
        <item h="1" x="191"/>
        <item h="1" x="199"/>
        <item h="1" x="145"/>
        <item h="1" x="80"/>
        <item h="1" x="226"/>
        <item h="1" x="33"/>
        <item h="1" x="53"/>
        <item h="1" x="149"/>
        <item h="1" x="128"/>
        <item h="1" x="58"/>
        <item h="1" x="220"/>
        <item h="1" x="195"/>
        <item h="1" x="200"/>
        <item h="1" x="202"/>
        <item h="1" x="124"/>
        <item h="1" x="259"/>
        <item h="1" x="10"/>
        <item h="1" x="211"/>
        <item h="1" x="252"/>
        <item h="1" x="132"/>
        <item h="1" x="218"/>
        <item h="1" x="206"/>
        <item h="1" x="213"/>
        <item h="1" x="225"/>
        <item h="1" x="209"/>
        <item h="1" x="207"/>
        <item h="1" x="224"/>
        <item h="1" x="106"/>
        <item h="1" x="101"/>
        <item h="1" x="212"/>
        <item h="1" x="137"/>
        <item h="1" x="262"/>
        <item h="1" x="205"/>
        <item h="1" x="215"/>
        <item h="1" x="222"/>
        <item h="1" x="36"/>
        <item h="1" x="219"/>
        <item h="1" x="232"/>
        <item h="1" x="245"/>
        <item h="1" x="233"/>
        <item h="1" x="236"/>
        <item h="1" x="231"/>
        <item h="1" x="238"/>
        <item h="1" x="103"/>
        <item h="1" x="241"/>
        <item h="1" x="242"/>
        <item h="1" x="234"/>
        <item h="1" x="243"/>
        <item h="1" x="244"/>
        <item h="1" x="247"/>
        <item h="1" x="246"/>
        <item h="1" x="72"/>
        <item h="1" x="249"/>
        <item h="1" x="251"/>
        <item h="1" x="257"/>
        <item h="1" x="253"/>
        <item h="1" x="256"/>
        <item h="1" x="261"/>
        <item h="1" x="263"/>
        <item h="1" x="264"/>
        <item h="1" x="67"/>
        <item h="1" x="1"/>
        <item t="default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</pivotFields>
  <rowFields count="1">
    <field x="0"/>
  </rowFields>
  <rowItems count="4">
    <i>
      <x v="53"/>
    </i>
    <i>
      <x v="197"/>
    </i>
    <i>
      <x v="6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a de 2016" fld="60" baseField="0" baseItem="0"/>
    <dataField name="Suma de 2017" fld="61" baseField="0" baseItem="0"/>
    <dataField name="Suma de 2018" fld="62" baseField="0" baseItem="0"/>
    <dataField name="Suma de 2019" fld="63" baseField="0" baseItem="0"/>
    <dataField name="Suma de 2020" fld="64" baseField="0" baseItem="0"/>
    <dataField name="Suma de 2021" fld="65" baseField="0" baseItem="0"/>
    <dataField name="Suma de 2022" fld="66" baseField="0" baseItem="0"/>
    <dataField name="Suma de 2023" fld="67" baseField="0" baseItem="0"/>
  </dataFields>
  <formats count="9">
    <format dxfId="8">
      <pivotArea type="all" dataOnly="0" outline="0" fieldPosition="0"/>
    </format>
    <format dxfId="7">
      <pivotArea outline="0" fieldPosition="0"/>
    </format>
    <format dxfId="6">
      <pivotArea type="origin" dataOnly="0" labelOnly="1" outline="0" fieldPosition="0"/>
    </format>
    <format dxfId="5">
      <pivotArea field="-2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A3E31-DC0A-4AE0-81F8-C2ADB4A546DE}" name="Tabla1" displayName="Tabla1" ref="A4:J181" headerRowDxfId="33" dataDxfId="31" headerRowBorderDxfId="32" tableBorderDxfId="30" totalsRowBorderDxfId="29">
  <autoFilter ref="A4:J181" xr:uid="{CCEEE3EF-EEB9-420E-9B20-5B6EA30BFB72}">
    <filterColumn colId="0">
      <filters>
        <filter val="Afganistán"/>
        <filter val="Alemania"/>
        <filter val="Andorra"/>
        <filter val="Angola"/>
        <filter val="Anguila"/>
        <filter val="Antigua y Barbuda"/>
        <filter val="Arabia Saudita"/>
        <filter val="Argelia"/>
        <filter val="Argentina"/>
        <filter val="Armenia"/>
        <filter val="Aruba"/>
        <filter val="Australia"/>
        <filter val="Austria"/>
        <filter val="Azerbaiyán"/>
        <filter val="Bahamas"/>
        <filter val="Bahrein"/>
        <filter val="Bangladesh"/>
        <filter val="Barbados"/>
        <filter val="Belarús"/>
        <filter val="Bélgica"/>
        <filter val="Benin"/>
        <filter val="Bermudas"/>
        <filter val="Bolivia, Estado Plurinacional de"/>
        <filter val="Bosnia y Herzegovina"/>
        <filter val="Botsuana"/>
        <filter val="Brasil"/>
        <filter val="Brunei Darussalam"/>
        <filter val="Bulgaria"/>
        <filter val="Camboya"/>
        <filter val="Camerún"/>
        <filter val="Canadá"/>
        <filter val="Chile"/>
        <filter val="China"/>
        <filter val="Chipre"/>
        <filter val="Colombia"/>
        <filter val="Congo"/>
        <filter val="Congo, República Democrática del"/>
        <filter val="Corea, República de"/>
        <filter val="Costa Rica"/>
        <filter val="Côte d'Ivoire"/>
        <filter val="Croacia"/>
        <filter val="Curaçao"/>
        <filter val="Dinamarca"/>
        <filter val="Djibouti"/>
        <filter val="Dominica"/>
        <filter val="Egipto"/>
        <filter val="El Salvador"/>
        <filter val="Emiratos Árabes Unidos"/>
        <filter val="Eslovaquia"/>
        <filter val="Eslovenia"/>
        <filter val="España"/>
        <filter val="Estados Unidos de América"/>
        <filter val="Estados Unidos Minor periferico Islas"/>
        <filter val="Estonia"/>
        <filter val="Eswatini"/>
        <filter val="Etiopía"/>
        <filter val="Fiji"/>
        <filter val="Filipinas"/>
        <filter val="Finlandia"/>
        <filter val="Francia"/>
        <filter val="Gabón"/>
        <filter val="Gambia"/>
        <filter val="Georgia"/>
        <filter val="Gibraltar"/>
        <filter val="Grecia"/>
        <filter val="Groenlandia"/>
        <filter val="Guatemala"/>
        <filter val="Guinea Ecuatorial"/>
        <filter val="Guyana"/>
        <filter val="Haití"/>
        <filter val="Honduras"/>
        <filter val="Hong Kong, China"/>
        <filter val="Hungría"/>
        <filter val="India"/>
        <filter val="Indonesia"/>
        <filter val="Irán, República Islámica del"/>
        <filter val="Iraq"/>
        <filter val="Irlanda"/>
        <filter val="Islandia"/>
        <filter val="Islas (Malvinas) Falkland"/>
        <filter val="Islas Caimanes"/>
        <filter val="Islas Feroe"/>
        <filter val="Islas Marshall"/>
        <filter val="Israel"/>
        <filter val="Italia"/>
        <filter val="Jamaica"/>
        <filter val="Japón"/>
        <filter val="Jordania"/>
        <filter val="Kazajstán"/>
        <filter val="Kenya"/>
        <filter val="Kirguistán"/>
        <filter val="Kiribati"/>
        <filter val="Kuwait"/>
        <filter val="Lao, República Democrática Popular"/>
        <filter val="Lesoto"/>
        <filter val="Letonia"/>
        <filter val="Líbano"/>
        <filter val="Lituania"/>
        <filter val="Luxemburgo"/>
        <filter val="Macao, China"/>
        <filter val="Macedonia del Norte"/>
        <filter val="Madagascar"/>
        <filter val="Malasia"/>
        <filter val="Malawi"/>
        <filter val="Malí"/>
        <filter val="Malta"/>
        <filter val="Marruecos"/>
        <filter val="Mauricio"/>
        <filter val="México"/>
        <filter val="Moldova, República de"/>
        <filter val="Mongolia"/>
        <filter val="Montenegro"/>
        <filter val="Montserrat"/>
        <filter val="Mozambique"/>
        <filter val="Myanmar"/>
        <filter val="Namibia"/>
        <filter val="Nepal"/>
        <filter val="Nicaragua"/>
        <filter val="Nigeria"/>
        <filter val="Noruega"/>
        <filter val="Nueva Caledonia"/>
        <filter val="Nueva Zelandia"/>
        <filter val="Omán"/>
        <filter val="Países Bajos"/>
        <filter val="Pakistán"/>
        <filter val="Palestina, Estado de"/>
        <filter val="Panamá"/>
        <filter val="Paraguay"/>
        <filter val="Perú"/>
        <filter val="Pitcairn"/>
        <filter val="Polinesia Francesa"/>
        <filter val="Polonia"/>
        <filter val="Portugal"/>
        <filter val="Qatar"/>
        <filter val="Reino Unido"/>
        <filter val="República Árabe Siria"/>
        <filter val="República Checa"/>
        <filter val="República Dominicana"/>
        <filter val="Ruanda"/>
        <filter val="Rumania"/>
        <filter val="Rusia, Federación de"/>
        <filter val="Samoa"/>
        <filter val="Samoa Americana"/>
        <filter val="San Pedro y Miquelón"/>
        <filter val="Santa Helena"/>
        <filter val="Santa Lucía"/>
        <filter val="Senegal"/>
        <filter val="Serbia"/>
        <filter val="Seychelles"/>
        <filter val="Sierra Leona"/>
        <filter val="Singapur"/>
        <filter val="Somalia"/>
        <filter val="Sri Lanka"/>
        <filter val="Sudáfrica"/>
        <filter val="Sudán"/>
        <filter val="Suecia"/>
        <filter val="Suiza"/>
        <filter val="Suriname"/>
        <filter val="Tailandia"/>
        <filter val="Taipei Chino"/>
        <filter val="Tanzanía, República Unida de"/>
        <filter val="Tayikistán"/>
        <filter val="Togo"/>
        <filter val="Tokelau"/>
        <filter val="TOTALES"/>
        <filter val="Trinidad y Tobago"/>
        <filter val="Türkiye"/>
        <filter val="Ucrania"/>
        <filter val="Uganda"/>
        <filter val="Uruguay"/>
        <filter val="Vanuatu"/>
        <filter val="Venezuela, República Bolivariana de"/>
        <filter val="Viet Nam"/>
        <filter val="Yemen"/>
        <filter val="Zambia"/>
        <filter val="Zona franca"/>
      </filters>
    </filterColumn>
  </autoFilter>
  <tableColumns count="10">
    <tableColumn id="1" xr3:uid="{E13B4A6D-E1BA-484D-B00A-ED450311852D}" name="Exportadores" totalsRowLabel="Total" dataDxfId="28" totalsRowDxfId="27"/>
    <tableColumn id="2" xr3:uid="{F3ED4C8B-5AF4-404B-99B2-78270B085B2A}" name="2016" dataDxfId="26" totalsRowDxfId="25"/>
    <tableColumn id="3" xr3:uid="{03C189ED-806E-4DA2-8EBD-A8196FC6D991}" name="2017" dataDxfId="24" totalsRowDxfId="23"/>
    <tableColumn id="4" xr3:uid="{A79DEE99-0755-43DC-A39B-FB36A855C1F5}" name="2018" dataDxfId="22" totalsRowDxfId="21"/>
    <tableColumn id="5" xr3:uid="{020CD0C7-5D65-418E-9C99-FA4E63111D70}" name="2019" dataDxfId="20" totalsRowDxfId="19"/>
    <tableColumn id="6" xr3:uid="{311D697E-AC48-4EEC-BAE9-4D9A5D926A52}" name="2020" dataDxfId="18" totalsRowDxfId="17"/>
    <tableColumn id="7" xr3:uid="{98D6E48D-F555-49F9-BCB0-7289846A0293}" name="2021" dataDxfId="16" totalsRowDxfId="15"/>
    <tableColumn id="8" xr3:uid="{BDC4E9AA-52BB-4722-8DE7-ED9C21DB4898}" name="2022" dataDxfId="14" totalsRowDxfId="13"/>
    <tableColumn id="9" xr3:uid="{02BEBD31-DDFB-401E-BB1B-43C31DBA8017}" name="2023" totalsRowFunction="count" dataDxfId="12" totalsRowDxfId="11"/>
    <tableColumn id="10" xr3:uid="{E50BF0DC-FAA9-4321-9113-BBE6DEC4E7D3}" name="2024" dataDxfId="10" totalsRowDxfId="9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3003-78F9-4ADD-82A6-D69D7BE54AD6}">
  <dimension ref="A1:Y47"/>
  <sheetViews>
    <sheetView topLeftCell="B35" zoomScale="85" zoomScaleNormal="85" workbookViewId="0">
      <selection activeCell="Y39" sqref="Y39"/>
    </sheetView>
  </sheetViews>
  <sheetFormatPr baseColWidth="10" defaultRowHeight="11.25"/>
  <cols>
    <col min="1" max="1" width="20.85546875" style="1" customWidth="1"/>
    <col min="2" max="2" width="10.42578125" style="1" bestFit="1" customWidth="1"/>
    <col min="3" max="12" width="8.7109375" style="1" bestFit="1" customWidth="1"/>
    <col min="13" max="13" width="7.5703125" style="1" customWidth="1"/>
    <col min="14" max="24" width="8.7109375" style="1" bestFit="1" customWidth="1"/>
    <col min="25" max="16384" width="11.42578125" style="1"/>
  </cols>
  <sheetData>
    <row r="1" spans="1:25">
      <c r="M1" s="1" t="s">
        <v>0</v>
      </c>
    </row>
    <row r="2" spans="1:25">
      <c r="M2" s="1" t="s">
        <v>1</v>
      </c>
    </row>
    <row r="4" spans="1:25">
      <c r="A4" s="2" t="s">
        <v>2</v>
      </c>
      <c r="B4" s="2">
        <v>2000</v>
      </c>
      <c r="C4" s="2">
        <v>2001</v>
      </c>
      <c r="D4" s="2">
        <v>2002</v>
      </c>
      <c r="E4" s="2">
        <v>2003</v>
      </c>
      <c r="F4" s="2">
        <v>2004</v>
      </c>
      <c r="G4" s="2">
        <v>2005</v>
      </c>
      <c r="H4" s="2">
        <v>2006</v>
      </c>
      <c r="I4" s="2">
        <v>2007</v>
      </c>
      <c r="J4" s="2">
        <v>2008</v>
      </c>
      <c r="K4" s="2">
        <v>2009</v>
      </c>
      <c r="L4" s="2">
        <v>2010</v>
      </c>
      <c r="M4" s="2">
        <v>2011</v>
      </c>
      <c r="N4" s="2">
        <v>2012</v>
      </c>
      <c r="O4" s="2">
        <v>2013</v>
      </c>
      <c r="P4" s="2">
        <v>2014</v>
      </c>
      <c r="Q4" s="2">
        <v>2015</v>
      </c>
      <c r="R4" s="2">
        <v>2016</v>
      </c>
      <c r="S4" s="2">
        <v>2017</v>
      </c>
      <c r="T4" s="2">
        <v>2018</v>
      </c>
      <c r="U4" s="2">
        <v>2019</v>
      </c>
      <c r="V4" s="2">
        <v>2020</v>
      </c>
      <c r="W4" s="2">
        <v>2021</v>
      </c>
      <c r="X4" s="2">
        <v>2022</v>
      </c>
      <c r="Y4" s="2">
        <v>2023</v>
      </c>
    </row>
    <row r="5" spans="1:25">
      <c r="A5" s="3" t="s">
        <v>3</v>
      </c>
      <c r="B5" s="4">
        <v>55113362.100000001</v>
      </c>
      <c r="C5" s="4">
        <v>54833745.920000002</v>
      </c>
      <c r="D5" s="4">
        <v>55844373.270000003</v>
      </c>
      <c r="E5" s="4">
        <v>56644376.969999999</v>
      </c>
      <c r="F5" s="4">
        <v>58158415.149999999</v>
      </c>
      <c r="G5" s="4">
        <v>58489792.149999999</v>
      </c>
      <c r="H5" s="4">
        <v>59703615.350000001</v>
      </c>
      <c r="I5" s="4">
        <v>61437667.969999999</v>
      </c>
      <c r="J5" s="4">
        <v>61575207.240000002</v>
      </c>
      <c r="K5" s="4">
        <v>61983340.57</v>
      </c>
      <c r="L5" s="4">
        <v>61864812.670000002</v>
      </c>
      <c r="M5" s="4">
        <v>61671745.990000002</v>
      </c>
      <c r="N5" s="4">
        <v>62048068.82</v>
      </c>
      <c r="O5" s="4">
        <v>63008260.609999999</v>
      </c>
      <c r="P5" s="4">
        <v>63320000.280000001</v>
      </c>
      <c r="Q5" s="4">
        <v>62900672.539999999</v>
      </c>
      <c r="R5" s="4">
        <v>63157549.689999998</v>
      </c>
      <c r="S5" s="4">
        <v>64281533.810000002</v>
      </c>
      <c r="T5" s="4">
        <v>66074787.460000001</v>
      </c>
      <c r="U5" s="4">
        <v>67967153.150000006</v>
      </c>
      <c r="V5" s="4">
        <v>67465424.599999994</v>
      </c>
      <c r="W5" s="4">
        <v>68179139.810000002</v>
      </c>
      <c r="X5" s="4">
        <v>69346116.170000002</v>
      </c>
      <c r="Y5" s="4">
        <v>69462202.780000001</v>
      </c>
    </row>
    <row r="6" spans="1:25">
      <c r="A6" s="3" t="s">
        <v>4</v>
      </c>
      <c r="B6" s="4">
        <v>7337751.5700000003</v>
      </c>
      <c r="C6" s="4">
        <v>7260718.8700000001</v>
      </c>
      <c r="D6" s="4">
        <v>7445114.79</v>
      </c>
      <c r="E6" s="4">
        <v>7582258.5300000003</v>
      </c>
      <c r="F6" s="4">
        <v>7823906.3799999999</v>
      </c>
      <c r="G6" s="4">
        <v>7952208.9699999997</v>
      </c>
      <c r="H6" s="4">
        <v>8156981.3200000003</v>
      </c>
      <c r="I6" s="4">
        <v>8384868.1200000001</v>
      </c>
      <c r="J6" s="4">
        <v>8388696.7200000007</v>
      </c>
      <c r="K6" s="4">
        <v>8466703.9100000001</v>
      </c>
      <c r="L6" s="4">
        <v>8463712.5500000007</v>
      </c>
      <c r="M6" s="4">
        <v>8418857.9600000009</v>
      </c>
      <c r="N6" s="4">
        <v>8485583.3800000008</v>
      </c>
      <c r="O6" s="4">
        <v>8658826.8599999994</v>
      </c>
      <c r="P6" s="4">
        <v>8710586.9800000004</v>
      </c>
      <c r="Q6" s="4">
        <v>8742841.2400000002</v>
      </c>
      <c r="R6" s="4">
        <v>8698845.6099999994</v>
      </c>
      <c r="S6" s="4">
        <v>8833308.2799999993</v>
      </c>
      <c r="T6" s="4">
        <v>9043770.3499999996</v>
      </c>
      <c r="U6" s="4">
        <v>9381629.0899999999</v>
      </c>
      <c r="V6" s="4">
        <v>9323204.5800000001</v>
      </c>
      <c r="W6" s="4">
        <v>9417912.2400000002</v>
      </c>
      <c r="X6" s="4">
        <v>9570873.5700000003</v>
      </c>
    </row>
    <row r="7" spans="1:25">
      <c r="A7" s="3" t="s">
        <v>5</v>
      </c>
      <c r="B7" s="4">
        <v>2824724</v>
      </c>
      <c r="C7" s="4">
        <v>2791217.36</v>
      </c>
      <c r="D7" s="4">
        <v>2835435.96</v>
      </c>
      <c r="E7" s="4">
        <v>2879337.99</v>
      </c>
      <c r="F7" s="4">
        <v>2953632.23</v>
      </c>
      <c r="G7" s="4">
        <v>2942991.13</v>
      </c>
      <c r="H7" s="4">
        <v>2986309.89</v>
      </c>
      <c r="I7" s="4">
        <v>3073497.81</v>
      </c>
      <c r="J7" s="4">
        <v>3080106.03</v>
      </c>
      <c r="K7" s="4">
        <v>3096727.86</v>
      </c>
      <c r="L7" s="4">
        <v>3060523.3</v>
      </c>
      <c r="M7" s="4">
        <v>3044771.89</v>
      </c>
      <c r="N7" s="4">
        <v>3047626.92</v>
      </c>
      <c r="O7" s="4">
        <v>3084226.75</v>
      </c>
      <c r="P7" s="4">
        <v>3103698.61</v>
      </c>
      <c r="Q7" s="4">
        <v>3078045.96</v>
      </c>
      <c r="R7" s="4">
        <v>3098907.6</v>
      </c>
      <c r="S7" s="4">
        <v>3158253.83</v>
      </c>
      <c r="T7" s="4">
        <v>3248883.42</v>
      </c>
      <c r="U7" s="4">
        <v>3336330.29</v>
      </c>
      <c r="V7" s="4">
        <v>3314641.58</v>
      </c>
      <c r="W7" s="4">
        <v>3340140.03</v>
      </c>
      <c r="X7" s="4">
        <v>3392342.85</v>
      </c>
    </row>
    <row r="8" spans="1:25">
      <c r="A8" s="1" t="s">
        <v>6</v>
      </c>
      <c r="B8" s="5">
        <f t="shared" ref="B8:X8" si="0">SUM(B4:B7)</f>
        <v>65277837.670000002</v>
      </c>
      <c r="C8" s="5">
        <f t="shared" si="0"/>
        <v>64887683.149999999</v>
      </c>
      <c r="D8" s="5">
        <f t="shared" si="0"/>
        <v>66126926.020000003</v>
      </c>
      <c r="E8" s="5">
        <f t="shared" si="0"/>
        <v>67107976.490000002</v>
      </c>
      <c r="F8" s="5">
        <f t="shared" si="0"/>
        <v>68937957.760000005</v>
      </c>
      <c r="G8" s="5">
        <f t="shared" si="0"/>
        <v>69386997.25</v>
      </c>
      <c r="H8" s="5">
        <f t="shared" si="0"/>
        <v>70848912.560000002</v>
      </c>
      <c r="I8" s="5">
        <f t="shared" si="0"/>
        <v>72898040.900000006</v>
      </c>
      <c r="J8" s="5">
        <f t="shared" si="0"/>
        <v>73046017.99000001</v>
      </c>
      <c r="K8" s="5">
        <f t="shared" si="0"/>
        <v>73548781.340000004</v>
      </c>
      <c r="L8" s="5">
        <f t="shared" si="0"/>
        <v>73391058.519999996</v>
      </c>
      <c r="M8" s="5">
        <f t="shared" si="0"/>
        <v>73137386.840000004</v>
      </c>
      <c r="N8" s="5">
        <f t="shared" si="0"/>
        <v>73583291.120000005</v>
      </c>
      <c r="O8" s="5">
        <f t="shared" si="0"/>
        <v>74753327.219999999</v>
      </c>
      <c r="P8" s="5">
        <f t="shared" si="0"/>
        <v>75136299.870000005</v>
      </c>
      <c r="Q8" s="5">
        <f t="shared" si="0"/>
        <v>74723574.739999995</v>
      </c>
      <c r="R8" s="5">
        <f t="shared" si="0"/>
        <v>74957318.899999991</v>
      </c>
      <c r="S8" s="5">
        <f t="shared" si="0"/>
        <v>76275112.920000002</v>
      </c>
      <c r="T8" s="5">
        <f t="shared" si="0"/>
        <v>78369459.230000004</v>
      </c>
      <c r="U8" s="5">
        <f t="shared" si="0"/>
        <v>80687131.530000016</v>
      </c>
      <c r="V8" s="5">
        <f t="shared" si="0"/>
        <v>80105290.75999999</v>
      </c>
      <c r="W8" s="5">
        <f t="shared" si="0"/>
        <v>80939213.079999998</v>
      </c>
      <c r="X8" s="5">
        <f t="shared" si="0"/>
        <v>82311354.590000004</v>
      </c>
    </row>
    <row r="37" spans="1:25">
      <c r="A37" s="2" t="s">
        <v>2</v>
      </c>
      <c r="B37" s="2">
        <v>2000</v>
      </c>
      <c r="C37" s="2">
        <v>2001</v>
      </c>
      <c r="D37" s="2">
        <v>2002</v>
      </c>
      <c r="E37" s="2">
        <v>2003</v>
      </c>
      <c r="F37" s="2">
        <v>2004</v>
      </c>
      <c r="G37" s="2">
        <v>2005</v>
      </c>
      <c r="H37" s="2">
        <v>2006</v>
      </c>
      <c r="I37" s="2">
        <v>2007</v>
      </c>
      <c r="J37" s="2">
        <v>2008</v>
      </c>
      <c r="K37" s="2">
        <v>2009</v>
      </c>
      <c r="L37" s="2">
        <v>2010</v>
      </c>
      <c r="M37" s="2">
        <v>2011</v>
      </c>
      <c r="N37" s="2">
        <v>2012</v>
      </c>
      <c r="O37" s="2">
        <v>2013</v>
      </c>
      <c r="P37" s="2">
        <v>2014</v>
      </c>
      <c r="Q37" s="2">
        <v>2015</v>
      </c>
      <c r="R37" s="2">
        <v>2016</v>
      </c>
      <c r="S37" s="2">
        <v>2017</v>
      </c>
      <c r="T37" s="2">
        <v>2018</v>
      </c>
      <c r="U37" s="2">
        <v>2019</v>
      </c>
      <c r="V37" s="2">
        <v>2020</v>
      </c>
      <c r="W37" s="2">
        <v>2021</v>
      </c>
      <c r="X37" s="2">
        <v>2022</v>
      </c>
      <c r="Y37" s="2">
        <v>2023</v>
      </c>
    </row>
    <row r="38" spans="1:25">
      <c r="A38" s="3" t="s">
        <v>3</v>
      </c>
      <c r="B38" s="4">
        <v>55113362.100000001</v>
      </c>
      <c r="C38" s="4">
        <v>54833745.920000002</v>
      </c>
      <c r="D38" s="4">
        <v>55844373.270000003</v>
      </c>
      <c r="E38" s="4">
        <v>56644376.969999999</v>
      </c>
      <c r="F38" s="4">
        <v>58158415.149999999</v>
      </c>
      <c r="G38" s="4">
        <v>58489792.149999999</v>
      </c>
      <c r="H38" s="4">
        <v>59703615.350000001</v>
      </c>
      <c r="I38" s="4">
        <v>61437667.969999999</v>
      </c>
      <c r="J38" s="4">
        <v>61575207.240000002</v>
      </c>
      <c r="K38" s="4">
        <v>61983340.57</v>
      </c>
      <c r="L38" s="4">
        <v>61864812.670000002</v>
      </c>
      <c r="M38" s="4">
        <v>61671745.990000002</v>
      </c>
      <c r="N38" s="4">
        <v>62048068.82</v>
      </c>
      <c r="O38" s="4">
        <v>63008260.609999999</v>
      </c>
      <c r="P38" s="4">
        <v>63320000.280000001</v>
      </c>
      <c r="Q38" s="4">
        <v>62900672.539999999</v>
      </c>
      <c r="R38" s="4">
        <v>63157549.689999998</v>
      </c>
      <c r="S38" s="4">
        <v>64281533.810000002</v>
      </c>
      <c r="T38" s="4">
        <v>66074787.460000001</v>
      </c>
      <c r="U38" s="4">
        <v>67967153.150000006</v>
      </c>
      <c r="V38" s="4">
        <v>67465424.599999994</v>
      </c>
      <c r="W38" s="4">
        <v>68179139.810000002</v>
      </c>
      <c r="X38" s="4">
        <v>69346116.170000002</v>
      </c>
      <c r="Y38" s="4">
        <v>69462202.780000001</v>
      </c>
    </row>
    <row r="39" spans="1:25">
      <c r="A39" s="3" t="s">
        <v>3</v>
      </c>
      <c r="B39" s="7">
        <f>B38/1000000</f>
        <v>55.113362100000003</v>
      </c>
      <c r="C39" s="7">
        <f t="shared" ref="C39:Y39" si="1">C38/1000000</f>
        <v>54.833745919999998</v>
      </c>
      <c r="D39" s="7">
        <f t="shared" si="1"/>
        <v>55.844373270000006</v>
      </c>
      <c r="E39" s="7">
        <f t="shared" si="1"/>
        <v>56.644376969999996</v>
      </c>
      <c r="F39" s="7">
        <f t="shared" si="1"/>
        <v>58.158415149999996</v>
      </c>
      <c r="G39" s="7">
        <f t="shared" si="1"/>
        <v>58.48979215</v>
      </c>
      <c r="H39" s="7">
        <f t="shared" si="1"/>
        <v>59.70361535</v>
      </c>
      <c r="I39" s="7">
        <f t="shared" si="1"/>
        <v>61.43766797</v>
      </c>
      <c r="J39" s="7">
        <f t="shared" si="1"/>
        <v>61.575207240000005</v>
      </c>
      <c r="K39" s="7">
        <f t="shared" si="1"/>
        <v>61.983340570000003</v>
      </c>
      <c r="L39" s="7">
        <f t="shared" si="1"/>
        <v>61.864812669999999</v>
      </c>
      <c r="M39" s="7">
        <f t="shared" si="1"/>
        <v>61.671745990000005</v>
      </c>
      <c r="N39" s="7">
        <f t="shared" si="1"/>
        <v>62.048068819999997</v>
      </c>
      <c r="O39" s="7">
        <f t="shared" si="1"/>
        <v>63.008260610000001</v>
      </c>
      <c r="P39" s="7">
        <f t="shared" si="1"/>
        <v>63.320000280000002</v>
      </c>
      <c r="Q39" s="7">
        <f t="shared" si="1"/>
        <v>62.900672540000002</v>
      </c>
      <c r="R39" s="7">
        <f t="shared" si="1"/>
        <v>63.157549689999996</v>
      </c>
      <c r="S39" s="7">
        <f t="shared" si="1"/>
        <v>64.281533809999999</v>
      </c>
      <c r="T39" s="7">
        <f t="shared" si="1"/>
        <v>66.074787459999996</v>
      </c>
      <c r="U39" s="7">
        <f t="shared" si="1"/>
        <v>67.967153150000001</v>
      </c>
      <c r="V39" s="7">
        <f t="shared" si="1"/>
        <v>67.465424599999992</v>
      </c>
      <c r="W39" s="7">
        <f t="shared" si="1"/>
        <v>68.179139810000009</v>
      </c>
      <c r="X39" s="7">
        <f t="shared" si="1"/>
        <v>69.346116170000002</v>
      </c>
      <c r="Y39" s="7">
        <f t="shared" si="1"/>
        <v>69.462202779999998</v>
      </c>
    </row>
    <row r="40" spans="1:25">
      <c r="B40" s="7"/>
      <c r="C40" s="8">
        <f>(C38-B38)/B38</f>
        <v>-5.0734734617106526E-3</v>
      </c>
      <c r="D40" s="8">
        <f t="shared" ref="D40:V40" si="2">(D38-C38)/C38</f>
        <v>1.8430755241023691E-2</v>
      </c>
      <c r="E40" s="8">
        <f t="shared" si="2"/>
        <v>1.4325591875336942E-2</v>
      </c>
      <c r="F40" s="8">
        <f t="shared" si="2"/>
        <v>2.6728834546134471E-2</v>
      </c>
      <c r="G40" s="8">
        <f t="shared" si="2"/>
        <v>5.6978340820554498E-3</v>
      </c>
      <c r="H40" s="8">
        <f t="shared" si="2"/>
        <v>2.0752735740402234E-2</v>
      </c>
      <c r="I40" s="8">
        <f t="shared" si="2"/>
        <v>2.9044348651827451E-2</v>
      </c>
      <c r="J40" s="8">
        <f t="shared" si="2"/>
        <v>2.238679861142576E-3</v>
      </c>
      <c r="K40" s="8">
        <f t="shared" si="2"/>
        <v>6.6282087920423571E-3</v>
      </c>
      <c r="L40" s="8">
        <f t="shared" si="2"/>
        <v>-1.9122541461949879E-3</v>
      </c>
      <c r="M40" s="8">
        <f t="shared" si="2"/>
        <v>-3.1207833931359047E-3</v>
      </c>
      <c r="N40" s="8">
        <f t="shared" si="2"/>
        <v>6.1020297700184866E-3</v>
      </c>
      <c r="O40" s="8">
        <f t="shared" si="2"/>
        <v>1.5474966558354831E-2</v>
      </c>
      <c r="P40" s="8">
        <f t="shared" si="2"/>
        <v>4.9475999969204954E-3</v>
      </c>
      <c r="Q40" s="8">
        <f t="shared" si="2"/>
        <v>-6.6223584672416569E-3</v>
      </c>
      <c r="R40" s="8">
        <f t="shared" si="2"/>
        <v>4.0838537908580285E-3</v>
      </c>
      <c r="S40" s="8">
        <f t="shared" si="2"/>
        <v>1.7796512459981803E-2</v>
      </c>
      <c r="T40" s="8">
        <f t="shared" si="2"/>
        <v>2.7896870900753611E-2</v>
      </c>
      <c r="U40" s="8">
        <f t="shared" si="2"/>
        <v>2.8639754477388146E-2</v>
      </c>
      <c r="V40" s="8">
        <f t="shared" si="2"/>
        <v>-7.3819268094504837E-3</v>
      </c>
      <c r="W40" s="8">
        <f>(W38-V38)/V38</f>
        <v>1.0578977516729487E-2</v>
      </c>
      <c r="X40" s="8">
        <f t="shared" ref="X40" si="3">(X38-W38)/W38</f>
        <v>1.711632565696929E-2</v>
      </c>
      <c r="Y40" s="8">
        <f>(Y38-X38)/X38</f>
        <v>1.674017470789805E-3</v>
      </c>
    </row>
    <row r="41" spans="1: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5" spans="1:25">
      <c r="Y45" s="1">
        <f>(Y38-B38)/B38</f>
        <v>0.26035139453051076</v>
      </c>
    </row>
    <row r="46" spans="1:25">
      <c r="C46" s="1" t="s">
        <v>398</v>
      </c>
    </row>
    <row r="47" spans="1:25">
      <c r="C47" s="1" t="s">
        <v>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4837-260D-4933-BBDA-B0787A79C3FE}">
  <dimension ref="A2:Q58"/>
  <sheetViews>
    <sheetView topLeftCell="B1" zoomScaleNormal="100" workbookViewId="0">
      <selection activeCell="F31" sqref="F31"/>
    </sheetView>
  </sheetViews>
  <sheetFormatPr baseColWidth="10" defaultRowHeight="11.25"/>
  <cols>
    <col min="1" max="16384" width="11.42578125" style="10"/>
  </cols>
  <sheetData>
    <row r="2" spans="2:17">
      <c r="B2" s="9" t="s">
        <v>8</v>
      </c>
      <c r="C2" s="19" t="s">
        <v>9</v>
      </c>
      <c r="D2" s="19" t="s">
        <v>10</v>
      </c>
      <c r="E2" s="19">
        <v>2023</v>
      </c>
      <c r="G2" s="11" t="s">
        <v>400</v>
      </c>
      <c r="N2" s="9" t="s">
        <v>8</v>
      </c>
      <c r="O2" s="10">
        <v>2023</v>
      </c>
      <c r="P2" s="9">
        <v>2014</v>
      </c>
      <c r="Q2" s="9" t="s">
        <v>10</v>
      </c>
    </row>
    <row r="3" spans="2:17">
      <c r="B3" s="12" t="s">
        <v>13</v>
      </c>
      <c r="C3" s="13">
        <v>1.0685910000000001</v>
      </c>
      <c r="D3" s="13">
        <v>1.265935</v>
      </c>
      <c r="E3" s="13">
        <v>1.347831</v>
      </c>
      <c r="N3" s="10" t="s">
        <v>21</v>
      </c>
      <c r="O3" s="17">
        <v>12285731</v>
      </c>
      <c r="P3" s="17"/>
      <c r="Q3" s="17"/>
    </row>
    <row r="4" spans="2:17">
      <c r="B4" s="12" t="s">
        <v>15</v>
      </c>
      <c r="C4" s="13">
        <v>1.6541349999999999</v>
      </c>
      <c r="D4" s="13">
        <v>1.608136</v>
      </c>
      <c r="E4" s="13">
        <v>1.6596</v>
      </c>
      <c r="N4" s="10" t="s">
        <v>20</v>
      </c>
      <c r="O4" s="17">
        <v>11160000</v>
      </c>
      <c r="P4" s="17"/>
      <c r="Q4" s="17"/>
    </row>
    <row r="5" spans="2:17">
      <c r="B5" s="12" t="s">
        <v>14</v>
      </c>
      <c r="C5" s="13">
        <v>0.81567378000000001</v>
      </c>
      <c r="D5" s="13">
        <v>1.2812342700000001</v>
      </c>
      <c r="E5" s="13">
        <v>1.6706060300000001</v>
      </c>
      <c r="N5" s="10" t="s">
        <v>19</v>
      </c>
      <c r="O5" s="17">
        <v>6788851.0800000001</v>
      </c>
      <c r="P5" s="17"/>
      <c r="Q5" s="17"/>
    </row>
    <row r="6" spans="2:17">
      <c r="B6" s="12" t="s">
        <v>17</v>
      </c>
      <c r="C6" s="13">
        <v>1.8271520000000001</v>
      </c>
      <c r="D6" s="13">
        <v>1.98084634</v>
      </c>
      <c r="E6" s="13">
        <v>2.2149277000000001</v>
      </c>
      <c r="N6" s="10" t="s">
        <v>399</v>
      </c>
      <c r="O6" s="17">
        <v>6774120</v>
      </c>
      <c r="P6" s="17">
        <v>5541480</v>
      </c>
      <c r="Q6" s="17">
        <v>5796540</v>
      </c>
    </row>
    <row r="7" spans="2:17">
      <c r="B7" s="12" t="s">
        <v>16</v>
      </c>
      <c r="C7" s="13">
        <v>2.5951490000000002</v>
      </c>
      <c r="D7" s="13">
        <v>2.3085469999999999</v>
      </c>
      <c r="E7" s="13">
        <v>2.2362340000000001</v>
      </c>
      <c r="N7" s="10" t="s">
        <v>18</v>
      </c>
      <c r="O7" s="17">
        <v>3287045.86</v>
      </c>
      <c r="P7" s="17"/>
      <c r="Q7" s="17"/>
    </row>
    <row r="8" spans="2:17">
      <c r="B8" s="12" t="s">
        <v>18</v>
      </c>
      <c r="C8" s="13">
        <v>2.6739999999999999</v>
      </c>
      <c r="D8" s="13">
        <v>3.0660940000000001</v>
      </c>
      <c r="E8" s="13">
        <v>3.2870458599999997</v>
      </c>
      <c r="N8" s="10" t="s">
        <v>16</v>
      </c>
      <c r="O8" s="17">
        <v>2236234</v>
      </c>
      <c r="P8" s="17"/>
      <c r="Q8" s="17"/>
    </row>
    <row r="9" spans="2:17">
      <c r="B9" s="12" t="s">
        <v>399</v>
      </c>
      <c r="C9" s="13">
        <v>5.54148</v>
      </c>
      <c r="D9" s="13">
        <v>5.7965400000000002</v>
      </c>
      <c r="E9" s="13">
        <v>6.7741199999999999</v>
      </c>
      <c r="N9" s="10" t="s">
        <v>17</v>
      </c>
      <c r="O9" s="17">
        <v>2214927.7000000002</v>
      </c>
      <c r="P9" s="17"/>
      <c r="Q9" s="17"/>
    </row>
    <row r="10" spans="2:17">
      <c r="B10" s="12" t="s">
        <v>19</v>
      </c>
      <c r="C10" s="13">
        <v>5.5562521699999996</v>
      </c>
      <c r="D10" s="13">
        <v>5.8101617699999997</v>
      </c>
      <c r="E10" s="13">
        <v>6.7888510799999997</v>
      </c>
      <c r="N10" s="10" t="s">
        <v>14</v>
      </c>
      <c r="O10" s="17">
        <v>1670606.03</v>
      </c>
      <c r="P10" s="17"/>
      <c r="Q10" s="17"/>
    </row>
    <row r="11" spans="2:17">
      <c r="B11" s="12" t="s">
        <v>20</v>
      </c>
      <c r="C11" s="13">
        <v>9.7230000000000008</v>
      </c>
      <c r="D11" s="13">
        <v>9.9</v>
      </c>
      <c r="E11" s="13">
        <v>11.16</v>
      </c>
      <c r="N11" s="10" t="s">
        <v>15</v>
      </c>
      <c r="O11" s="17">
        <v>1659600</v>
      </c>
      <c r="P11" s="17"/>
      <c r="Q11" s="17"/>
    </row>
    <row r="12" spans="2:17">
      <c r="B12" s="12" t="s">
        <v>21</v>
      </c>
      <c r="C12" s="13">
        <v>11.698116000000001</v>
      </c>
      <c r="D12" s="13">
        <v>12.255874</v>
      </c>
      <c r="E12" s="13">
        <v>12.285731</v>
      </c>
      <c r="N12" s="10" t="s">
        <v>13</v>
      </c>
      <c r="O12" s="17">
        <v>1347831</v>
      </c>
      <c r="P12" s="17"/>
      <c r="Q12" s="17"/>
    </row>
    <row r="13" spans="2:17">
      <c r="N13" s="12" t="s">
        <v>21</v>
      </c>
      <c r="O13" s="17"/>
      <c r="P13" s="17">
        <v>11698116</v>
      </c>
      <c r="Q13" s="17">
        <v>12255874</v>
      </c>
    </row>
    <row r="14" spans="2:17">
      <c r="B14" s="12" t="s">
        <v>22</v>
      </c>
      <c r="C14" s="12">
        <v>25127523.329999968</v>
      </c>
      <c r="D14" s="12">
        <v>26432815.140000001</v>
      </c>
      <c r="E14" s="13">
        <f>E16-SUM(E3:E12)</f>
        <v>20.037256110000001</v>
      </c>
      <c r="N14" s="12" t="s">
        <v>20</v>
      </c>
      <c r="O14" s="17"/>
      <c r="P14" s="17">
        <v>9723000</v>
      </c>
      <c r="Q14" s="17">
        <v>9900000</v>
      </c>
    </row>
    <row r="15" spans="2:17">
      <c r="B15" s="14"/>
      <c r="C15" s="14"/>
      <c r="D15" s="14"/>
      <c r="E15" s="14"/>
      <c r="N15" s="12" t="s">
        <v>19</v>
      </c>
      <c r="O15" s="17"/>
      <c r="P15" s="17">
        <v>5556252.1699999999</v>
      </c>
      <c r="Q15" s="17">
        <v>5810161.7699999996</v>
      </c>
    </row>
    <row r="16" spans="2:17">
      <c r="B16" s="14" t="s">
        <v>23</v>
      </c>
      <c r="C16" s="14">
        <v>68876252.49999997</v>
      </c>
      <c r="D16" s="14">
        <v>71884949.25</v>
      </c>
      <c r="E16" s="150">
        <v>69.462202779999998</v>
      </c>
      <c r="N16" s="12" t="s">
        <v>18</v>
      </c>
      <c r="O16" s="17"/>
      <c r="P16" s="17">
        <v>2674000</v>
      </c>
      <c r="Q16" s="17">
        <v>3066094</v>
      </c>
    </row>
    <row r="17" spans="2:17">
      <c r="B17" s="12" t="s">
        <v>24</v>
      </c>
      <c r="C17" s="12">
        <v>224651</v>
      </c>
      <c r="D17" s="12">
        <v>268000</v>
      </c>
      <c r="E17" s="13">
        <v>0.326596</v>
      </c>
      <c r="N17" s="12" t="s">
        <v>16</v>
      </c>
      <c r="O17" s="17"/>
      <c r="P17" s="17">
        <v>2595149</v>
      </c>
      <c r="Q17" s="17">
        <v>2308547</v>
      </c>
    </row>
    <row r="18" spans="2:17">
      <c r="B18" s="15"/>
      <c r="C18" s="15"/>
      <c r="D18" s="15"/>
      <c r="E18" s="15"/>
      <c r="N18" s="12" t="s">
        <v>17</v>
      </c>
      <c r="O18" s="17"/>
      <c r="P18" s="17">
        <v>1827152</v>
      </c>
      <c r="Q18" s="17">
        <v>1980846.34</v>
      </c>
    </row>
    <row r="19" spans="2:17">
      <c r="E19" s="16"/>
      <c r="N19" s="12" t="s">
        <v>15</v>
      </c>
      <c r="O19" s="17"/>
      <c r="P19" s="17">
        <v>1654135</v>
      </c>
      <c r="Q19" s="17">
        <v>1608136</v>
      </c>
    </row>
    <row r="20" spans="2:17">
      <c r="E20" s="16">
        <f>E12/E16</f>
        <v>0.17686929737761478</v>
      </c>
      <c r="N20" s="12" t="s">
        <v>12</v>
      </c>
      <c r="O20" s="17">
        <v>1301420</v>
      </c>
      <c r="P20" s="17">
        <v>1410854</v>
      </c>
      <c r="Q20" s="17">
        <v>1460000</v>
      </c>
    </row>
    <row r="21" spans="2:17">
      <c r="N21" s="12" t="s">
        <v>13</v>
      </c>
      <c r="O21" s="17"/>
      <c r="P21" s="17">
        <v>1068591</v>
      </c>
      <c r="Q21" s="17">
        <v>1265935</v>
      </c>
    </row>
    <row r="22" spans="2:17">
      <c r="N22" s="12" t="s">
        <v>14</v>
      </c>
      <c r="O22" s="17"/>
      <c r="P22" s="17">
        <v>815673.78</v>
      </c>
      <c r="Q22" s="17">
        <v>1281234.27</v>
      </c>
    </row>
    <row r="25" spans="2:17">
      <c r="B25" s="9" t="s">
        <v>8</v>
      </c>
      <c r="C25" s="9">
        <v>2014</v>
      </c>
      <c r="D25" s="9" t="s">
        <v>10</v>
      </c>
      <c r="E25" s="9">
        <v>2023</v>
      </c>
      <c r="F25" s="149"/>
      <c r="G25" s="149"/>
      <c r="H25" s="149"/>
      <c r="I25" s="149"/>
    </row>
    <row r="26" spans="2:17" ht="15">
      <c r="B26" s="12" t="s">
        <v>21</v>
      </c>
      <c r="C26" s="17">
        <v>11698116</v>
      </c>
      <c r="D26" s="17">
        <v>12255874</v>
      </c>
      <c r="E26" s="17">
        <v>12285731</v>
      </c>
      <c r="F26" s="149"/>
      <c r="G26" s="151">
        <f>(E11-C11)/C11</f>
        <v>0.14779389077445226</v>
      </c>
      <c r="H26" s="149"/>
      <c r="I26" s="149"/>
    </row>
    <row r="27" spans="2:17">
      <c r="B27" s="12" t="s">
        <v>20</v>
      </c>
      <c r="C27" s="17">
        <v>9723000</v>
      </c>
      <c r="D27" s="17">
        <v>9900000</v>
      </c>
      <c r="E27" s="17">
        <v>11160000</v>
      </c>
      <c r="F27" s="149"/>
      <c r="G27" s="149"/>
      <c r="H27" s="149"/>
      <c r="I27" s="149"/>
    </row>
    <row r="28" spans="2:17">
      <c r="B28" s="12" t="s">
        <v>19</v>
      </c>
      <c r="C28" s="17">
        <v>5556252.1699999999</v>
      </c>
      <c r="D28" s="17">
        <v>5810161.7699999996</v>
      </c>
      <c r="E28" s="17">
        <v>6788851.0800000001</v>
      </c>
      <c r="F28" s="149"/>
      <c r="G28" s="149"/>
      <c r="H28" s="149"/>
      <c r="I28" s="149"/>
    </row>
    <row r="29" spans="2:17">
      <c r="B29" s="12" t="s">
        <v>399</v>
      </c>
      <c r="C29" s="17">
        <v>5541480</v>
      </c>
      <c r="D29" s="17">
        <v>5796540</v>
      </c>
      <c r="E29" s="17">
        <v>6774120</v>
      </c>
      <c r="F29" s="149"/>
      <c r="G29" s="149"/>
      <c r="H29" s="149"/>
      <c r="I29" s="149"/>
    </row>
    <row r="30" spans="2:17">
      <c r="B30" s="12" t="s">
        <v>18</v>
      </c>
      <c r="C30" s="17">
        <v>2674000</v>
      </c>
      <c r="D30" s="17">
        <v>3066094</v>
      </c>
      <c r="E30" s="17">
        <v>3287045.86</v>
      </c>
      <c r="F30" s="149"/>
      <c r="G30" s="149"/>
      <c r="H30" s="149"/>
      <c r="I30" s="149"/>
    </row>
    <row r="31" spans="2:17">
      <c r="B31" s="12" t="s">
        <v>16</v>
      </c>
      <c r="C31" s="17">
        <v>2595149</v>
      </c>
      <c r="D31" s="17">
        <v>2308547</v>
      </c>
      <c r="E31" s="17">
        <v>2236234</v>
      </c>
      <c r="F31" s="149"/>
      <c r="G31" s="149"/>
      <c r="H31" s="149"/>
      <c r="I31" s="149"/>
    </row>
    <row r="32" spans="2:17">
      <c r="B32" s="12" t="s">
        <v>17</v>
      </c>
      <c r="C32" s="17">
        <v>1827152</v>
      </c>
      <c r="D32" s="17">
        <v>1980846.34</v>
      </c>
      <c r="E32" s="17">
        <v>2214927.7000000002</v>
      </c>
      <c r="F32" s="149"/>
      <c r="G32" s="149"/>
      <c r="H32" s="149"/>
      <c r="I32" s="149"/>
    </row>
    <row r="33" spans="2:9">
      <c r="B33" s="12" t="s">
        <v>14</v>
      </c>
      <c r="C33" s="17">
        <v>815673.78</v>
      </c>
      <c r="D33" s="17">
        <v>1281234.27</v>
      </c>
      <c r="E33" s="17">
        <v>1670606.03</v>
      </c>
      <c r="F33" s="149"/>
      <c r="G33" s="149"/>
      <c r="H33" s="149"/>
      <c r="I33" s="149"/>
    </row>
    <row r="34" spans="2:9">
      <c r="B34" s="12" t="s">
        <v>15</v>
      </c>
      <c r="C34" s="17">
        <v>1654135</v>
      </c>
      <c r="D34" s="17">
        <v>1608136</v>
      </c>
      <c r="E34" s="17">
        <v>1659600</v>
      </c>
      <c r="F34" s="149"/>
      <c r="G34" s="149"/>
      <c r="H34" s="149"/>
      <c r="I34" s="149"/>
    </row>
    <row r="35" spans="2:9">
      <c r="B35" s="12" t="s">
        <v>13</v>
      </c>
      <c r="C35" s="17">
        <v>1068591</v>
      </c>
      <c r="D35" s="17">
        <v>1265935</v>
      </c>
      <c r="E35" s="17">
        <v>1347831</v>
      </c>
      <c r="F35" s="149"/>
      <c r="G35" s="149"/>
      <c r="H35" s="149"/>
      <c r="I35" s="149"/>
    </row>
    <row r="36" spans="2:9">
      <c r="F36" s="149"/>
      <c r="G36" s="149"/>
      <c r="H36" s="149"/>
      <c r="I36" s="149"/>
    </row>
    <row r="37" spans="2:9">
      <c r="B37" s="15"/>
      <c r="C37" s="18"/>
      <c r="D37" s="18"/>
      <c r="E37" s="18"/>
    </row>
    <row r="39" spans="2:9">
      <c r="B39" s="19" t="s">
        <v>8</v>
      </c>
      <c r="C39" s="19">
        <v>2018</v>
      </c>
      <c r="D39" s="19">
        <v>2022</v>
      </c>
      <c r="E39" s="19" t="s">
        <v>25</v>
      </c>
    </row>
    <row r="40" spans="2:9">
      <c r="B40" s="20" t="s">
        <v>21</v>
      </c>
      <c r="C40" s="21">
        <f>(D26-C26)/C26</f>
        <v>4.7679301521715123E-2</v>
      </c>
      <c r="D40" s="21">
        <f>(E26-D26)/D26</f>
        <v>2.4361379694340852E-3</v>
      </c>
      <c r="E40" s="21">
        <f>AVERAGE(C40:D40)</f>
        <v>2.5057719745574605E-2</v>
      </c>
    </row>
    <row r="41" spans="2:9">
      <c r="B41" s="20" t="s">
        <v>20</v>
      </c>
      <c r="C41" s="21">
        <f t="shared" ref="C41:D49" si="0">(D27-C27)/C27</f>
        <v>1.820425794507868E-2</v>
      </c>
      <c r="D41" s="21">
        <f t="shared" si="0"/>
        <v>0.12727272727272726</v>
      </c>
      <c r="E41" s="21">
        <f>AVERAGE(C41:D41)</f>
        <v>7.2738492608902972E-2</v>
      </c>
    </row>
    <row r="42" spans="2:9">
      <c r="B42" s="20" t="s">
        <v>19</v>
      </c>
      <c r="C42" s="21">
        <f t="shared" si="0"/>
        <v>4.5697997900624378E-2</v>
      </c>
      <c r="D42" s="21">
        <f t="shared" si="0"/>
        <v>0.16844441665175883</v>
      </c>
      <c r="E42" s="21">
        <f t="shared" ref="E42:E49" si="1">AVERAGE(C42:D42)</f>
        <v>0.1070712072761916</v>
      </c>
    </row>
    <row r="43" spans="2:9">
      <c r="B43" s="20" t="s">
        <v>18</v>
      </c>
      <c r="C43" s="21">
        <f t="shared" si="0"/>
        <v>4.6027415058792959E-2</v>
      </c>
      <c r="D43" s="21">
        <f t="shared" si="0"/>
        <v>0.16864888364438096</v>
      </c>
      <c r="E43" s="21">
        <f t="shared" si="1"/>
        <v>0.10733814935158696</v>
      </c>
    </row>
    <row r="44" spans="2:9">
      <c r="B44" s="20" t="s">
        <v>16</v>
      </c>
      <c r="C44" s="21">
        <f t="shared" si="0"/>
        <v>0.1466320119670905</v>
      </c>
      <c r="D44" s="21">
        <f t="shared" si="0"/>
        <v>7.2062976542793492E-2</v>
      </c>
      <c r="E44" s="21">
        <f t="shared" si="1"/>
        <v>0.109347494254942</v>
      </c>
    </row>
    <row r="45" spans="2:9">
      <c r="B45" s="20" t="s">
        <v>17</v>
      </c>
      <c r="C45" s="21">
        <f t="shared" si="0"/>
        <v>-0.11043758951798144</v>
      </c>
      <c r="D45" s="21">
        <f t="shared" si="0"/>
        <v>-3.1324031956031215E-2</v>
      </c>
      <c r="E45" s="21">
        <f t="shared" si="1"/>
        <v>-7.0880810737006333E-2</v>
      </c>
    </row>
    <row r="46" spans="2:9">
      <c r="B46" s="20" t="s">
        <v>15</v>
      </c>
      <c r="C46" s="21">
        <f t="shared" si="0"/>
        <v>8.4116887921749303E-2</v>
      </c>
      <c r="D46" s="21">
        <f t="shared" si="0"/>
        <v>0.11817239695634346</v>
      </c>
      <c r="E46" s="21">
        <f t="shared" si="1"/>
        <v>0.10114464243904639</v>
      </c>
    </row>
    <row r="47" spans="2:9">
      <c r="B47" s="20" t="s">
        <v>12</v>
      </c>
      <c r="C47" s="21">
        <f t="shared" si="0"/>
        <v>0.57076799747075357</v>
      </c>
      <c r="D47" s="21">
        <f t="shared" si="0"/>
        <v>0.30390364129114344</v>
      </c>
      <c r="E47" s="21">
        <f t="shared" si="1"/>
        <v>0.43733581938094851</v>
      </c>
    </row>
    <row r="48" spans="2:9">
      <c r="B48" s="20" t="s">
        <v>13</v>
      </c>
      <c r="C48" s="21">
        <f t="shared" si="0"/>
        <v>-2.7808492051737011E-2</v>
      </c>
      <c r="D48" s="21">
        <f t="shared" si="0"/>
        <v>3.2002268464856209E-2</v>
      </c>
      <c r="E48" s="21">
        <f t="shared" si="1"/>
        <v>2.0968882065595992E-3</v>
      </c>
    </row>
    <row r="49" spans="1:5">
      <c r="B49" s="20" t="s">
        <v>14</v>
      </c>
      <c r="C49" s="21">
        <f t="shared" si="0"/>
        <v>0.18467683145375546</v>
      </c>
      <c r="D49" s="21">
        <f t="shared" si="0"/>
        <v>6.4692105044887774E-2</v>
      </c>
      <c r="E49" s="21">
        <f t="shared" si="1"/>
        <v>0.12468446824932161</v>
      </c>
    </row>
    <row r="55" spans="1:5">
      <c r="A55" s="9" t="s">
        <v>8</v>
      </c>
      <c r="B55" s="9" t="s">
        <v>9</v>
      </c>
      <c r="C55" s="9" t="s">
        <v>10</v>
      </c>
      <c r="D55" s="9" t="s">
        <v>11</v>
      </c>
    </row>
    <row r="56" spans="1:5">
      <c r="A56" s="22" t="s">
        <v>21</v>
      </c>
      <c r="B56" s="23">
        <v>11698116</v>
      </c>
      <c r="C56" s="23">
        <v>12255874</v>
      </c>
      <c r="D56" s="23">
        <v>12890324</v>
      </c>
    </row>
    <row r="57" spans="1:5">
      <c r="A57" s="22" t="s">
        <v>26</v>
      </c>
      <c r="B57" s="23">
        <v>68876252.49999997</v>
      </c>
      <c r="C57" s="23">
        <v>71884949.25</v>
      </c>
      <c r="D57" s="23">
        <v>76537684.530000016</v>
      </c>
    </row>
    <row r="58" spans="1:5">
      <c r="B58" s="24">
        <f>B56/B57</f>
        <v>0.16984251574953219</v>
      </c>
      <c r="C58" s="24">
        <f t="shared" ref="C58:D58" si="2">C56/C57</f>
        <v>0.17049290745656331</v>
      </c>
      <c r="D58" s="24">
        <f t="shared" si="2"/>
        <v>0.16841800322490103</v>
      </c>
    </row>
  </sheetData>
  <sortState xmlns:xlrd2="http://schemas.microsoft.com/office/spreadsheetml/2017/richdata2" ref="F26:I35">
    <sortCondition ref="I26:I3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BDB1-FF14-45F7-A93B-3ED1CAB39D84}">
  <dimension ref="A1:AS326"/>
  <sheetViews>
    <sheetView topLeftCell="G10" zoomScale="85" zoomScaleNormal="85" workbookViewId="0">
      <selection activeCell="M27" sqref="M27"/>
    </sheetView>
  </sheetViews>
  <sheetFormatPr baseColWidth="10" defaultRowHeight="14.25"/>
  <cols>
    <col min="1" max="1" width="25.85546875" style="27" bestFit="1" customWidth="1"/>
    <col min="2" max="7" width="9.42578125" style="27" customWidth="1"/>
    <col min="8" max="9" width="9.42578125" style="27" bestFit="1" customWidth="1"/>
    <col min="10" max="10" width="11.42578125" style="27"/>
    <col min="11" max="11" width="17.140625" style="27" bestFit="1" customWidth="1"/>
    <col min="12" max="16384" width="11.42578125" style="27"/>
  </cols>
  <sheetData>
    <row r="1" spans="1:45" ht="15">
      <c r="A1" s="25" t="s">
        <v>27</v>
      </c>
      <c r="B1" s="26">
        <v>2016</v>
      </c>
      <c r="C1" s="26">
        <v>2017</v>
      </c>
      <c r="D1" s="26">
        <v>2018</v>
      </c>
      <c r="E1" s="26">
        <v>2019</v>
      </c>
      <c r="F1" s="26">
        <v>2020</v>
      </c>
      <c r="G1" s="26">
        <v>2021</v>
      </c>
      <c r="H1" s="26">
        <v>2022</v>
      </c>
      <c r="I1" s="26">
        <v>2023</v>
      </c>
      <c r="J1" s="26" t="s">
        <v>403</v>
      </c>
      <c r="M1" s="49">
        <v>2016</v>
      </c>
      <c r="N1" s="49">
        <v>2017</v>
      </c>
      <c r="O1" s="49">
        <v>2018</v>
      </c>
      <c r="P1" s="49">
        <v>2019</v>
      </c>
      <c r="Q1" s="49">
        <v>2020</v>
      </c>
      <c r="R1" s="49">
        <v>2021</v>
      </c>
      <c r="S1" s="49">
        <v>2022</v>
      </c>
      <c r="T1" s="49">
        <v>2023</v>
      </c>
      <c r="U1" s="49">
        <v>2024</v>
      </c>
      <c r="X1"/>
      <c r="Y1"/>
      <c r="Z1"/>
      <c r="AA1"/>
      <c r="AB1"/>
      <c r="AC1"/>
      <c r="AD1"/>
      <c r="AE1"/>
    </row>
    <row r="2" spans="1:45" ht="15">
      <c r="A2" s="4" t="s">
        <v>29</v>
      </c>
      <c r="B2" s="4">
        <v>355379</v>
      </c>
      <c r="C2" s="4">
        <v>439456</v>
      </c>
      <c r="D2" s="4">
        <v>454386</v>
      </c>
      <c r="E2" s="4">
        <v>428629</v>
      </c>
      <c r="F2" s="4">
        <v>428887</v>
      </c>
      <c r="G2" s="4">
        <v>477903</v>
      </c>
      <c r="H2" s="4">
        <v>425724</v>
      </c>
      <c r="I2" s="4">
        <v>406000</v>
      </c>
      <c r="J2" s="4">
        <v>356919.81400000001</v>
      </c>
      <c r="L2" s="152" t="s">
        <v>401</v>
      </c>
      <c r="M2" s="50">
        <v>3808233</v>
      </c>
      <c r="N2" s="50">
        <v>3883699</v>
      </c>
      <c r="O2" s="50">
        <v>4037992</v>
      </c>
      <c r="P2" s="50">
        <v>3829973</v>
      </c>
      <c r="Q2" s="50">
        <v>3690951</v>
      </c>
      <c r="R2" s="50">
        <v>3591175</v>
      </c>
      <c r="S2" s="50">
        <v>3422441</v>
      </c>
      <c r="T2" s="50">
        <v>3756598</v>
      </c>
      <c r="U2" s="50">
        <f>U11/1000</f>
        <v>3181228.5890000002</v>
      </c>
      <c r="X2"/>
      <c r="Y2"/>
      <c r="Z2"/>
      <c r="AA2"/>
      <c r="AB2"/>
      <c r="AC2"/>
      <c r="AD2"/>
      <c r="AE2"/>
    </row>
    <row r="3" spans="1:45" ht="15">
      <c r="A3" s="4" t="s">
        <v>31</v>
      </c>
      <c r="B3" s="4">
        <v>247026</v>
      </c>
      <c r="C3" s="4">
        <v>258783</v>
      </c>
      <c r="D3" s="4">
        <v>280787</v>
      </c>
      <c r="E3" s="4">
        <v>308073</v>
      </c>
      <c r="F3" s="4">
        <v>296560</v>
      </c>
      <c r="G3" s="4">
        <v>332908</v>
      </c>
      <c r="H3" s="4">
        <v>335926</v>
      </c>
      <c r="I3" s="4">
        <v>357002</v>
      </c>
      <c r="J3" s="4">
        <v>320323.30499999999</v>
      </c>
      <c r="M3" s="77">
        <f>(S2-M2)/M2</f>
        <v>-0.10130472584004183</v>
      </c>
      <c r="N3" s="77">
        <f>(N2-M2)/M2</f>
        <v>1.9816539586732219E-2</v>
      </c>
      <c r="O3" s="77">
        <f t="shared" ref="O3:T3" si="0">(O2-N2)/N2</f>
        <v>3.9728362058954622E-2</v>
      </c>
      <c r="P3" s="77">
        <f t="shared" si="0"/>
        <v>-5.151545619704051E-2</v>
      </c>
      <c r="Q3" s="77">
        <f t="shared" si="0"/>
        <v>-3.6298428213462602E-2</v>
      </c>
      <c r="R3" s="77">
        <f t="shared" si="0"/>
        <v>-2.7032599457429807E-2</v>
      </c>
      <c r="S3" s="77">
        <f t="shared" si="0"/>
        <v>-4.6985735866394707E-2</v>
      </c>
      <c r="T3" s="77">
        <f t="shared" si="0"/>
        <v>9.7637037424458159E-2</v>
      </c>
      <c r="X3"/>
      <c r="Y3"/>
      <c r="Z3"/>
      <c r="AA3"/>
      <c r="AB3"/>
      <c r="AC3"/>
      <c r="AD3"/>
      <c r="AE3"/>
    </row>
    <row r="4" spans="1:45" ht="15">
      <c r="A4" s="4" t="s">
        <v>16</v>
      </c>
      <c r="B4" s="4">
        <v>281587</v>
      </c>
      <c r="C4" s="4">
        <v>280864</v>
      </c>
      <c r="D4" s="4">
        <v>305395</v>
      </c>
      <c r="E4" s="4">
        <v>313639</v>
      </c>
      <c r="F4" s="4">
        <v>306920</v>
      </c>
      <c r="G4" s="4">
        <v>278993</v>
      </c>
      <c r="H4" s="4">
        <v>229914</v>
      </c>
      <c r="I4" s="4">
        <v>279197</v>
      </c>
      <c r="J4" s="4">
        <v>313689.12400000001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 spans="1:45" ht="15">
      <c r="A5" s="4" t="s">
        <v>30</v>
      </c>
      <c r="B5" s="4">
        <v>396856</v>
      </c>
      <c r="C5" s="4">
        <v>394039</v>
      </c>
      <c r="D5" s="4">
        <v>401185</v>
      </c>
      <c r="E5" s="4">
        <v>405021</v>
      </c>
      <c r="F5" s="4">
        <v>374301</v>
      </c>
      <c r="G5" s="4">
        <v>381173</v>
      </c>
      <c r="H5" s="4">
        <v>376657</v>
      </c>
      <c r="I5" s="4">
        <v>374249</v>
      </c>
      <c r="J5" s="4">
        <v>307473.76199999999</v>
      </c>
      <c r="M5" s="152" t="s">
        <v>402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 spans="1:45" ht="15.75">
      <c r="A6" s="4" t="s">
        <v>36</v>
      </c>
      <c r="B6" s="4">
        <v>137650</v>
      </c>
      <c r="C6" s="4">
        <v>125088</v>
      </c>
      <c r="D6" s="4">
        <v>190132</v>
      </c>
      <c r="E6" s="4">
        <v>196393</v>
      </c>
      <c r="F6" s="4">
        <v>165902</v>
      </c>
      <c r="G6" s="4">
        <v>177686</v>
      </c>
      <c r="H6" s="4">
        <v>142072</v>
      </c>
      <c r="I6" s="4">
        <v>172799</v>
      </c>
      <c r="J6" s="4">
        <v>263844.81699999998</v>
      </c>
      <c r="S6" s="30">
        <v>21218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 spans="1:45" ht="15.75">
      <c r="A7" s="4" t="s">
        <v>32</v>
      </c>
      <c r="B7" s="4">
        <v>278610</v>
      </c>
      <c r="C7" s="4">
        <v>294702</v>
      </c>
      <c r="D7" s="4">
        <v>302048</v>
      </c>
      <c r="E7" s="4">
        <v>273146</v>
      </c>
      <c r="F7" s="4">
        <v>270618</v>
      </c>
      <c r="G7" s="4">
        <v>265526</v>
      </c>
      <c r="H7" s="4">
        <v>253731</v>
      </c>
      <c r="I7" s="4">
        <v>294368</v>
      </c>
      <c r="J7" s="4">
        <v>241461.954</v>
      </c>
      <c r="S7" s="30">
        <v>29616</v>
      </c>
      <c r="T7" s="29">
        <f>(S7-S6)/S6</f>
        <v>0.39579602224526345</v>
      </c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</row>
    <row r="8" spans="1:45" ht="15">
      <c r="A8" s="4" t="s">
        <v>34</v>
      </c>
      <c r="B8" s="4">
        <v>286359</v>
      </c>
      <c r="C8" s="4">
        <v>300114</v>
      </c>
      <c r="D8" s="4">
        <v>299559</v>
      </c>
      <c r="E8" s="4">
        <v>291502</v>
      </c>
      <c r="F8" s="4">
        <v>282390</v>
      </c>
      <c r="G8" s="4">
        <v>21880</v>
      </c>
      <c r="H8" s="4">
        <v>26030</v>
      </c>
      <c r="I8" s="4">
        <v>261360</v>
      </c>
      <c r="J8" s="4">
        <v>221375.19</v>
      </c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 spans="1:45" ht="15">
      <c r="A9" s="4" t="s">
        <v>37</v>
      </c>
      <c r="B9" s="4">
        <v>131959</v>
      </c>
      <c r="C9" s="4">
        <v>131717</v>
      </c>
      <c r="D9" s="4">
        <v>129260</v>
      </c>
      <c r="E9" s="4">
        <v>148779</v>
      </c>
      <c r="F9" s="4">
        <v>158187</v>
      </c>
      <c r="G9" s="4">
        <v>158447</v>
      </c>
      <c r="H9" s="4">
        <v>175075</v>
      </c>
      <c r="I9" s="4">
        <v>198386</v>
      </c>
      <c r="J9" s="4">
        <v>167943.91500000001</v>
      </c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ht="15">
      <c r="A10" s="4" t="s">
        <v>35</v>
      </c>
      <c r="B10" s="4">
        <v>186960</v>
      </c>
      <c r="C10" s="4">
        <v>188069</v>
      </c>
      <c r="D10" s="4">
        <v>192470</v>
      </c>
      <c r="E10" s="4">
        <v>184141</v>
      </c>
      <c r="F10" s="4">
        <v>174430</v>
      </c>
      <c r="G10" s="4">
        <v>182594</v>
      </c>
      <c r="H10" s="4">
        <v>180379</v>
      </c>
      <c r="I10" s="4">
        <v>162166</v>
      </c>
      <c r="J10" s="4">
        <v>159864.734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1:45" ht="15">
      <c r="A11" s="4" t="s">
        <v>38</v>
      </c>
      <c r="B11" s="4">
        <v>111395</v>
      </c>
      <c r="C11" s="4">
        <v>115139</v>
      </c>
      <c r="D11" s="4">
        <v>89929</v>
      </c>
      <c r="E11" s="4">
        <v>99048</v>
      </c>
      <c r="F11" s="4">
        <v>114917</v>
      </c>
      <c r="G11" s="4">
        <v>143750</v>
      </c>
      <c r="H11" s="4">
        <v>154551</v>
      </c>
      <c r="I11" s="4">
        <v>144475</v>
      </c>
      <c r="J11" s="4">
        <v>121925.863</v>
      </c>
      <c r="U11" s="4">
        <v>3181228589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 spans="1:45" ht="15">
      <c r="A12" s="4" t="s">
        <v>18</v>
      </c>
      <c r="B12" s="4">
        <v>63054</v>
      </c>
      <c r="C12" s="4">
        <v>70848</v>
      </c>
      <c r="D12" s="4">
        <v>87416</v>
      </c>
      <c r="E12" s="4">
        <v>90270</v>
      </c>
      <c r="F12" s="4">
        <v>88120</v>
      </c>
      <c r="G12" s="4">
        <v>93135</v>
      </c>
      <c r="H12" s="4">
        <v>89038</v>
      </c>
      <c r="I12" s="4">
        <v>92897</v>
      </c>
      <c r="J12" s="4">
        <v>95831.933000000005</v>
      </c>
      <c r="S12" s="50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</row>
    <row r="13" spans="1:45" ht="15">
      <c r="A13" s="4" t="s">
        <v>39</v>
      </c>
      <c r="B13" s="4">
        <v>127480</v>
      </c>
      <c r="C13" s="4">
        <v>137664</v>
      </c>
      <c r="D13" s="4">
        <v>137107</v>
      </c>
      <c r="E13" s="4">
        <v>114203</v>
      </c>
      <c r="F13" s="4">
        <v>107085</v>
      </c>
      <c r="G13" s="4">
        <v>115320</v>
      </c>
      <c r="H13" s="4">
        <v>107637</v>
      </c>
      <c r="I13" s="4">
        <v>106290</v>
      </c>
      <c r="J13" s="4">
        <v>89513.789000000004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 spans="1:45" ht="15">
      <c r="A14" s="4" t="s">
        <v>40</v>
      </c>
      <c r="B14" s="4">
        <v>88004</v>
      </c>
      <c r="C14" s="4">
        <v>81884</v>
      </c>
      <c r="D14" s="4">
        <v>80099</v>
      </c>
      <c r="E14" s="4">
        <v>80829</v>
      </c>
      <c r="F14" s="4">
        <v>77980</v>
      </c>
      <c r="G14" s="4">
        <v>85688</v>
      </c>
      <c r="H14" s="4">
        <v>81863</v>
      </c>
      <c r="I14" s="4">
        <v>77536</v>
      </c>
      <c r="J14" s="4">
        <v>88542.645000000004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ht="15">
      <c r="A15" s="4" t="s">
        <v>42</v>
      </c>
      <c r="B15" s="4">
        <v>82572</v>
      </c>
      <c r="C15" s="4">
        <v>78594</v>
      </c>
      <c r="D15" s="4">
        <v>83361</v>
      </c>
      <c r="E15" s="4">
        <v>99397</v>
      </c>
      <c r="F15" s="4">
        <v>75729</v>
      </c>
      <c r="G15" s="4">
        <v>60854</v>
      </c>
      <c r="H15" s="4">
        <v>83686</v>
      </c>
      <c r="I15" s="4">
        <v>73433</v>
      </c>
      <c r="J15" s="4">
        <v>72403.038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ht="15">
      <c r="A16" s="4" t="s">
        <v>41</v>
      </c>
      <c r="B16" s="4">
        <v>83029</v>
      </c>
      <c r="C16" s="4">
        <v>82487</v>
      </c>
      <c r="D16" s="4">
        <v>80949</v>
      </c>
      <c r="E16" s="4">
        <v>77308</v>
      </c>
      <c r="F16" s="4">
        <v>74180</v>
      </c>
      <c r="G16" s="4">
        <v>76547</v>
      </c>
      <c r="H16" s="4">
        <v>79966</v>
      </c>
      <c r="I16" s="4">
        <v>89915</v>
      </c>
      <c r="J16" s="4">
        <v>61399.315000000002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1:45" ht="15">
      <c r="A17" s="4" t="s">
        <v>47</v>
      </c>
      <c r="B17" s="4">
        <v>38694</v>
      </c>
      <c r="C17" s="4">
        <v>29112</v>
      </c>
      <c r="D17" s="4">
        <v>41105</v>
      </c>
      <c r="E17" s="4">
        <v>54558</v>
      </c>
      <c r="F17" s="4">
        <v>62732</v>
      </c>
      <c r="G17" s="4">
        <v>64692</v>
      </c>
      <c r="H17" s="4">
        <v>71260</v>
      </c>
      <c r="I17" s="4">
        <v>88023</v>
      </c>
      <c r="J17" s="4">
        <v>46076.771000000001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 spans="1:45" ht="15">
      <c r="A18" s="4" t="s">
        <v>46</v>
      </c>
      <c r="B18" s="4">
        <v>64513</v>
      </c>
      <c r="C18" s="4">
        <v>63402</v>
      </c>
      <c r="D18" s="4">
        <v>68313</v>
      </c>
      <c r="E18" s="4">
        <v>59174</v>
      </c>
      <c r="F18" s="4">
        <v>53674</v>
      </c>
      <c r="G18" s="4">
        <v>55795</v>
      </c>
      <c r="H18" s="4">
        <v>54281</v>
      </c>
      <c r="I18" s="4">
        <v>50690</v>
      </c>
      <c r="J18" s="4">
        <v>35867.802000000003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 spans="1:45" ht="15">
      <c r="A19" s="4" t="s">
        <v>48</v>
      </c>
      <c r="B19" s="4">
        <v>38145</v>
      </c>
      <c r="C19" s="4">
        <v>46985</v>
      </c>
      <c r="D19" s="4">
        <v>47737</v>
      </c>
      <c r="E19" s="4">
        <v>51328</v>
      </c>
      <c r="F19" s="4">
        <v>57501</v>
      </c>
      <c r="G19" s="4">
        <v>64054</v>
      </c>
      <c r="H19" s="4">
        <v>59831</v>
      </c>
      <c r="I19" s="4">
        <v>61333</v>
      </c>
      <c r="J19" s="4">
        <v>33517.767</v>
      </c>
      <c r="X19"/>
      <c r="Y19"/>
      <c r="Z19"/>
      <c r="AA19"/>
      <c r="AB19"/>
      <c r="AC19"/>
      <c r="AD19"/>
      <c r="AE19"/>
    </row>
    <row r="20" spans="1:45" ht="15">
      <c r="A20" s="4" t="s">
        <v>50</v>
      </c>
      <c r="B20" s="4">
        <v>29085</v>
      </c>
      <c r="C20" s="4">
        <v>27553</v>
      </c>
      <c r="D20" s="4">
        <v>31347</v>
      </c>
      <c r="E20" s="4">
        <v>37267</v>
      </c>
      <c r="F20" s="4">
        <v>37535</v>
      </c>
      <c r="G20" s="4">
        <v>41011</v>
      </c>
      <c r="H20" s="4">
        <v>38072</v>
      </c>
      <c r="I20" s="4">
        <v>35683</v>
      </c>
      <c r="J20" s="4">
        <v>28218.077000000001</v>
      </c>
      <c r="X20"/>
      <c r="Y20"/>
      <c r="Z20"/>
      <c r="AA20"/>
      <c r="AB20"/>
      <c r="AC20"/>
      <c r="AD20"/>
      <c r="AE20"/>
    </row>
    <row r="21" spans="1:45" ht="15">
      <c r="A21" s="4" t="s">
        <v>52</v>
      </c>
      <c r="B21" s="4">
        <v>21067</v>
      </c>
      <c r="C21" s="4">
        <v>18074</v>
      </c>
      <c r="D21" s="4">
        <v>14045</v>
      </c>
      <c r="E21" s="4">
        <v>12600</v>
      </c>
      <c r="F21" s="4">
        <v>16587</v>
      </c>
      <c r="G21" s="4">
        <v>15119</v>
      </c>
      <c r="H21" s="4">
        <v>15477</v>
      </c>
      <c r="I21" s="4">
        <v>18340</v>
      </c>
      <c r="J21" s="4">
        <v>19862.592000000001</v>
      </c>
      <c r="M21" s="27">
        <v>2016</v>
      </c>
      <c r="N21" s="27">
        <v>2017</v>
      </c>
      <c r="O21" s="27">
        <v>2018</v>
      </c>
      <c r="P21" s="27">
        <v>2019</v>
      </c>
      <c r="Q21" s="27">
        <v>2020</v>
      </c>
      <c r="R21" s="27">
        <v>2021</v>
      </c>
      <c r="S21" s="27">
        <v>2022</v>
      </c>
      <c r="T21" s="27">
        <v>2023</v>
      </c>
      <c r="X21"/>
      <c r="Y21"/>
      <c r="Z21"/>
      <c r="AA21"/>
      <c r="AB21"/>
      <c r="AC21"/>
      <c r="AD21"/>
      <c r="AE21"/>
    </row>
    <row r="22" spans="1:45">
      <c r="A22" s="4" t="s">
        <v>51</v>
      </c>
      <c r="B22" s="4">
        <v>21335</v>
      </c>
      <c r="C22" s="4">
        <v>20953</v>
      </c>
      <c r="D22" s="4">
        <v>20320</v>
      </c>
      <c r="E22" s="4">
        <v>20786</v>
      </c>
      <c r="F22" s="4">
        <v>19146</v>
      </c>
      <c r="G22" s="4">
        <v>20718</v>
      </c>
      <c r="H22" s="4">
        <v>21456</v>
      </c>
      <c r="I22" s="4">
        <v>20409</v>
      </c>
      <c r="J22" s="4">
        <v>17069.286</v>
      </c>
      <c r="L22" s="75" t="s">
        <v>343</v>
      </c>
      <c r="M22" s="76" t="s">
        <v>344</v>
      </c>
      <c r="N22" s="76" t="s">
        <v>345</v>
      </c>
      <c r="O22" s="76" t="s">
        <v>346</v>
      </c>
      <c r="P22" s="76" t="s">
        <v>338</v>
      </c>
      <c r="Q22" s="76" t="s">
        <v>339</v>
      </c>
      <c r="R22" s="76" t="s">
        <v>340</v>
      </c>
      <c r="S22" s="76" t="s">
        <v>341</v>
      </c>
      <c r="T22" s="76" t="s">
        <v>342</v>
      </c>
      <c r="U22" s="4">
        <v>26200319</v>
      </c>
    </row>
    <row r="23" spans="1:45">
      <c r="A23" s="4" t="s">
        <v>61</v>
      </c>
      <c r="B23" s="4">
        <v>1573</v>
      </c>
      <c r="C23" s="4">
        <v>795</v>
      </c>
      <c r="D23" s="4">
        <v>3659</v>
      </c>
      <c r="E23" s="4">
        <v>1609</v>
      </c>
      <c r="F23" s="4">
        <v>7700</v>
      </c>
      <c r="G23" s="4">
        <v>6341</v>
      </c>
      <c r="H23" s="4">
        <v>18270</v>
      </c>
      <c r="I23" s="4">
        <v>15588</v>
      </c>
      <c r="J23" s="4">
        <v>14676.179</v>
      </c>
    </row>
    <row r="24" spans="1:45">
      <c r="A24" s="4" t="s">
        <v>53</v>
      </c>
      <c r="B24" s="4">
        <v>12897</v>
      </c>
      <c r="C24" s="4">
        <v>12867</v>
      </c>
      <c r="D24" s="4">
        <v>11907</v>
      </c>
      <c r="E24" s="4">
        <v>11409</v>
      </c>
      <c r="F24" s="4">
        <v>8688</v>
      </c>
      <c r="G24" s="4">
        <v>16873</v>
      </c>
      <c r="H24" s="4">
        <v>23713</v>
      </c>
      <c r="I24" s="4">
        <v>30270</v>
      </c>
      <c r="J24" s="4">
        <v>14592.401</v>
      </c>
    </row>
    <row r="25" spans="1:45">
      <c r="A25" s="4" t="s">
        <v>54</v>
      </c>
      <c r="B25" s="4">
        <v>9288</v>
      </c>
      <c r="C25" s="4">
        <v>9555</v>
      </c>
      <c r="D25" s="4">
        <v>13731</v>
      </c>
      <c r="E25" s="4">
        <v>11807</v>
      </c>
      <c r="F25" s="4">
        <v>12504</v>
      </c>
      <c r="G25" s="4">
        <v>14539</v>
      </c>
      <c r="H25" s="4">
        <v>15757</v>
      </c>
      <c r="I25" s="4">
        <v>15371</v>
      </c>
      <c r="J25" s="4">
        <v>13231.525</v>
      </c>
    </row>
    <row r="26" spans="1:45" ht="15">
      <c r="A26" s="4" t="s">
        <v>55</v>
      </c>
      <c r="B26" s="4">
        <v>10233</v>
      </c>
      <c r="C26" s="4">
        <v>8877</v>
      </c>
      <c r="D26" s="4">
        <v>10443</v>
      </c>
      <c r="E26" s="4">
        <v>11820</v>
      </c>
      <c r="F26" s="4">
        <v>13134</v>
      </c>
      <c r="G26" s="4">
        <v>11949</v>
      </c>
      <c r="H26" s="4">
        <v>13611</v>
      </c>
      <c r="I26" s="4">
        <v>16389</v>
      </c>
      <c r="J26" s="4">
        <v>12922.839</v>
      </c>
      <c r="M26" s="27">
        <v>2016</v>
      </c>
      <c r="N26" s="27">
        <v>2017</v>
      </c>
      <c r="O26" s="27">
        <v>2018</v>
      </c>
      <c r="P26" s="27">
        <v>2019</v>
      </c>
      <c r="Q26" s="27">
        <v>2020</v>
      </c>
      <c r="R26" s="27">
        <v>2021</v>
      </c>
      <c r="S26" s="27">
        <v>2022</v>
      </c>
      <c r="T26" s="27">
        <v>2023</v>
      </c>
      <c r="U26"/>
      <c r="V26"/>
      <c r="W26"/>
      <c r="X26"/>
      <c r="Y26"/>
      <c r="Z26"/>
      <c r="AA26"/>
      <c r="AB26"/>
      <c r="AC26"/>
      <c r="AD26"/>
    </row>
    <row r="27" spans="1:45" ht="15">
      <c r="A27" s="4" t="s">
        <v>49</v>
      </c>
      <c r="B27" s="4">
        <v>42310</v>
      </c>
      <c r="C27" s="4">
        <v>42702</v>
      </c>
      <c r="D27" s="4">
        <v>39463</v>
      </c>
      <c r="E27" s="4">
        <v>36236</v>
      </c>
      <c r="F27" s="4">
        <v>32740</v>
      </c>
      <c r="G27" s="4">
        <v>42963</v>
      </c>
      <c r="H27" s="4">
        <v>39182</v>
      </c>
      <c r="I27" s="4">
        <v>40451</v>
      </c>
      <c r="J27" s="4">
        <v>10811.422</v>
      </c>
      <c r="L27" s="152" t="s">
        <v>401</v>
      </c>
      <c r="M27" s="131">
        <f>+M2+'graf 4'!O5</f>
        <v>8972099</v>
      </c>
      <c r="N27" s="131">
        <f>+N2+'graf 4'!P5</f>
        <v>9340213</v>
      </c>
      <c r="O27" s="131">
        <f>+O2+'graf 4'!Q5</f>
        <v>9824274</v>
      </c>
      <c r="P27" s="131">
        <f>+P2+'graf 4'!R5</f>
        <v>10240007</v>
      </c>
      <c r="Q27" s="131">
        <f>+Q2+'graf 4'!S5</f>
        <v>9848060</v>
      </c>
      <c r="R27" s="131">
        <f>+R2+'graf 4'!T5</f>
        <v>9820961</v>
      </c>
      <c r="S27" s="131">
        <f>+S2+'graf 4'!U5</f>
        <v>10226487</v>
      </c>
      <c r="T27" s="131">
        <f>+T2+'graf 4'!V5</f>
        <v>10685843</v>
      </c>
      <c r="U27"/>
      <c r="V27"/>
      <c r="W27"/>
      <c r="X27"/>
      <c r="Y27"/>
      <c r="Z27"/>
      <c r="AA27"/>
      <c r="AB27"/>
      <c r="AC27"/>
      <c r="AD27"/>
    </row>
    <row r="28" spans="1:45" ht="15">
      <c r="A28" s="4" t="s">
        <v>77</v>
      </c>
      <c r="B28" s="4">
        <v>594</v>
      </c>
      <c r="C28" s="4">
        <v>950</v>
      </c>
      <c r="D28" s="4">
        <v>582</v>
      </c>
      <c r="E28" s="4">
        <v>104</v>
      </c>
      <c r="F28" s="4">
        <v>178</v>
      </c>
      <c r="G28" s="4">
        <v>362</v>
      </c>
      <c r="H28" s="4">
        <v>313</v>
      </c>
      <c r="I28" s="4">
        <v>5672</v>
      </c>
      <c r="J28" s="4">
        <v>9085.3870000000006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1:45" ht="15">
      <c r="A29" s="4" t="s">
        <v>58</v>
      </c>
      <c r="B29" s="4">
        <v>10456</v>
      </c>
      <c r="C29" s="4">
        <v>10427</v>
      </c>
      <c r="D29" s="4">
        <v>10502</v>
      </c>
      <c r="E29" s="4">
        <v>8584</v>
      </c>
      <c r="F29" s="4">
        <v>8557</v>
      </c>
      <c r="G29" s="4">
        <v>10594</v>
      </c>
      <c r="H29" s="4">
        <v>9200</v>
      </c>
      <c r="I29" s="4">
        <v>0</v>
      </c>
      <c r="J29" s="4">
        <v>8984.7610000000004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1:45" ht="15">
      <c r="A30" s="4" t="s">
        <v>71</v>
      </c>
      <c r="B30" s="4">
        <v>1005</v>
      </c>
      <c r="C30" s="4">
        <v>1336</v>
      </c>
      <c r="D30" s="4">
        <v>1910</v>
      </c>
      <c r="E30" s="4">
        <v>2066</v>
      </c>
      <c r="F30" s="4">
        <v>2341</v>
      </c>
      <c r="G30" s="4">
        <v>3490</v>
      </c>
      <c r="H30" s="4">
        <v>3737</v>
      </c>
      <c r="I30" s="4">
        <v>3475</v>
      </c>
      <c r="J30" s="4">
        <v>4222.299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45" ht="15">
      <c r="A31" s="4" t="s">
        <v>60</v>
      </c>
      <c r="B31" s="4">
        <v>8386</v>
      </c>
      <c r="C31" s="4">
        <v>13414</v>
      </c>
      <c r="D31" s="4">
        <v>9390</v>
      </c>
      <c r="E31" s="4">
        <v>6118</v>
      </c>
      <c r="F31" s="4">
        <v>3576</v>
      </c>
      <c r="G31" s="4">
        <v>4328</v>
      </c>
      <c r="H31" s="4">
        <v>5702</v>
      </c>
      <c r="I31" s="4">
        <v>4877</v>
      </c>
      <c r="J31" s="4">
        <v>4200.1909999999998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1:45" ht="15">
      <c r="A32" s="4" t="s">
        <v>63</v>
      </c>
      <c r="B32" s="4">
        <v>5839</v>
      </c>
      <c r="C32" s="4">
        <v>5055</v>
      </c>
      <c r="D32" s="4">
        <v>6522</v>
      </c>
      <c r="E32" s="4">
        <v>6494</v>
      </c>
      <c r="F32" s="4">
        <v>5287</v>
      </c>
      <c r="G32" s="4">
        <v>5318</v>
      </c>
      <c r="H32" s="4">
        <v>5919</v>
      </c>
      <c r="I32" s="4">
        <v>6050</v>
      </c>
      <c r="J32" s="4">
        <v>4095.835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ht="15">
      <c r="A33" s="4" t="s">
        <v>66</v>
      </c>
      <c r="B33" s="4">
        <v>2135</v>
      </c>
      <c r="C33" s="4">
        <v>2384</v>
      </c>
      <c r="D33" s="4">
        <v>2793</v>
      </c>
      <c r="E33" s="4">
        <v>5264</v>
      </c>
      <c r="F33" s="4">
        <v>5139</v>
      </c>
      <c r="G33" s="4">
        <v>4217</v>
      </c>
      <c r="H33" s="4">
        <v>4738</v>
      </c>
      <c r="I33" s="4">
        <v>5270</v>
      </c>
      <c r="J33" s="4">
        <v>3889.3820000000001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30" ht="15">
      <c r="A34" s="4" t="s">
        <v>62</v>
      </c>
      <c r="B34" s="4">
        <v>4811</v>
      </c>
      <c r="C34" s="4">
        <v>5083</v>
      </c>
      <c r="D34" s="4">
        <v>5790</v>
      </c>
      <c r="E34" s="4">
        <v>6834</v>
      </c>
      <c r="F34" s="4">
        <v>6496</v>
      </c>
      <c r="G34" s="4">
        <v>7068</v>
      </c>
      <c r="H34" s="4">
        <v>5969</v>
      </c>
      <c r="I34" s="4">
        <v>4536</v>
      </c>
      <c r="J34" s="4">
        <v>2804.8690000000001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1:30" ht="15">
      <c r="A35" s="4" t="s">
        <v>177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2218.5929999999998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1:30" ht="15">
      <c r="A36" s="4" t="s">
        <v>68</v>
      </c>
      <c r="B36" s="4">
        <v>4832</v>
      </c>
      <c r="C36" s="4">
        <v>3064</v>
      </c>
      <c r="D36" s="4">
        <v>2676</v>
      </c>
      <c r="E36" s="4">
        <v>2170</v>
      </c>
      <c r="F36" s="4">
        <v>2322</v>
      </c>
      <c r="G36" s="4">
        <v>2227</v>
      </c>
      <c r="H36" s="4">
        <v>1505</v>
      </c>
      <c r="I36" s="4">
        <v>2547</v>
      </c>
      <c r="J36" s="4">
        <v>2059.8290000000002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1:30" ht="15">
      <c r="A37" s="4" t="s">
        <v>75</v>
      </c>
      <c r="B37" s="4">
        <v>809</v>
      </c>
      <c r="C37" s="4">
        <v>661</v>
      </c>
      <c r="D37" s="4">
        <v>674</v>
      </c>
      <c r="E37" s="4">
        <v>708</v>
      </c>
      <c r="F37" s="4">
        <v>1224</v>
      </c>
      <c r="G37" s="4">
        <v>2011</v>
      </c>
      <c r="H37" s="4">
        <v>2191</v>
      </c>
      <c r="I37" s="4">
        <v>2288</v>
      </c>
      <c r="J37" s="4">
        <v>1870.797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1:30" ht="15">
      <c r="A38" s="4" t="s">
        <v>72</v>
      </c>
      <c r="B38" s="4">
        <v>2028</v>
      </c>
      <c r="C38" s="4">
        <v>1848</v>
      </c>
      <c r="D38" s="4">
        <v>2235</v>
      </c>
      <c r="E38" s="4">
        <v>2416</v>
      </c>
      <c r="F38" s="4">
        <v>2225</v>
      </c>
      <c r="G38" s="4">
        <v>2041</v>
      </c>
      <c r="H38" s="4">
        <v>1847</v>
      </c>
      <c r="I38" s="4">
        <v>1746</v>
      </c>
      <c r="J38" s="4">
        <v>1345.6569999999999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1:30" ht="15">
      <c r="A39" s="4" t="s">
        <v>57</v>
      </c>
      <c r="B39" s="4">
        <v>3465</v>
      </c>
      <c r="C39" s="4">
        <v>9221</v>
      </c>
      <c r="D39" s="4">
        <v>4694</v>
      </c>
      <c r="E39" s="4">
        <v>4736</v>
      </c>
      <c r="F39" s="4">
        <v>11257</v>
      </c>
      <c r="G39" s="4">
        <v>19465</v>
      </c>
      <c r="H39" s="4">
        <v>11663</v>
      </c>
      <c r="I39" s="4">
        <v>5852</v>
      </c>
      <c r="J39" s="4">
        <v>996.16200000000003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1:30" ht="15">
      <c r="A40" s="4" t="s">
        <v>69</v>
      </c>
      <c r="B40" s="4">
        <v>1701</v>
      </c>
      <c r="C40" s="4">
        <v>3249</v>
      </c>
      <c r="D40" s="4">
        <v>6032</v>
      </c>
      <c r="E40" s="4">
        <v>1947</v>
      </c>
      <c r="F40" s="4">
        <v>3242</v>
      </c>
      <c r="G40" s="4">
        <v>1735</v>
      </c>
      <c r="H40" s="4">
        <v>846</v>
      </c>
      <c r="I40" s="4">
        <v>821</v>
      </c>
      <c r="J40" s="4">
        <v>966.87699999999995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1:30">
      <c r="A41" s="4" t="s">
        <v>59</v>
      </c>
      <c r="B41" s="4">
        <v>15696</v>
      </c>
      <c r="C41" s="4">
        <v>12324</v>
      </c>
      <c r="D41" s="4">
        <v>15771</v>
      </c>
      <c r="E41" s="4">
        <v>15062</v>
      </c>
      <c r="F41" s="4">
        <v>2010</v>
      </c>
      <c r="G41" s="4">
        <v>225</v>
      </c>
      <c r="H41" s="4">
        <v>34</v>
      </c>
      <c r="I41" s="4">
        <v>260</v>
      </c>
      <c r="J41" s="4">
        <v>887.779</v>
      </c>
      <c r="N41" s="27">
        <v>0</v>
      </c>
    </row>
    <row r="42" spans="1:30">
      <c r="A42" s="4" t="s">
        <v>80</v>
      </c>
      <c r="B42" s="4">
        <v>343</v>
      </c>
      <c r="C42" s="4">
        <v>617</v>
      </c>
      <c r="D42" s="4">
        <v>354</v>
      </c>
      <c r="E42" s="4">
        <v>352</v>
      </c>
      <c r="F42" s="4">
        <v>502</v>
      </c>
      <c r="G42" s="4">
        <v>534</v>
      </c>
      <c r="H42" s="4">
        <v>638</v>
      </c>
      <c r="I42" s="4">
        <v>904</v>
      </c>
      <c r="J42" s="4">
        <v>817.78899999999999</v>
      </c>
    </row>
    <row r="43" spans="1:30">
      <c r="A43" s="4" t="s">
        <v>73</v>
      </c>
      <c r="B43" s="4">
        <v>2694</v>
      </c>
      <c r="C43" s="4">
        <v>1893</v>
      </c>
      <c r="D43" s="4">
        <v>2301</v>
      </c>
      <c r="E43" s="4">
        <v>1661</v>
      </c>
      <c r="F43" s="4">
        <v>766</v>
      </c>
      <c r="G43" s="4">
        <v>975</v>
      </c>
      <c r="H43" s="4">
        <v>866</v>
      </c>
      <c r="I43" s="4">
        <v>1331</v>
      </c>
      <c r="J43" s="4">
        <v>751.67600000000004</v>
      </c>
    </row>
    <row r="44" spans="1:30">
      <c r="A44" s="4" t="s">
        <v>64</v>
      </c>
      <c r="B44" s="4">
        <v>6036</v>
      </c>
      <c r="C44" s="4">
        <v>9124</v>
      </c>
      <c r="D44" s="4">
        <v>6797</v>
      </c>
      <c r="E44" s="4">
        <v>6723</v>
      </c>
      <c r="F44" s="4">
        <v>8211</v>
      </c>
      <c r="G44" s="4">
        <v>6269</v>
      </c>
      <c r="H44" s="4">
        <v>704</v>
      </c>
      <c r="I44" s="4">
        <v>621</v>
      </c>
      <c r="J44" s="4">
        <v>531.33900000000006</v>
      </c>
    </row>
    <row r="45" spans="1:30">
      <c r="A45" s="4" t="s">
        <v>103</v>
      </c>
      <c r="B45" s="4">
        <v>47</v>
      </c>
      <c r="C45" s="4">
        <v>9</v>
      </c>
      <c r="D45" s="4">
        <v>4</v>
      </c>
      <c r="E45" s="4">
        <v>11</v>
      </c>
      <c r="F45" s="4">
        <v>13</v>
      </c>
      <c r="G45" s="4">
        <v>40</v>
      </c>
      <c r="H45" s="4">
        <v>67</v>
      </c>
      <c r="I45" s="4">
        <v>103</v>
      </c>
      <c r="J45" s="4">
        <v>386.80200000000002</v>
      </c>
    </row>
    <row r="46" spans="1:30">
      <c r="A46" s="4" t="s">
        <v>124</v>
      </c>
      <c r="B46" s="4">
        <v>2</v>
      </c>
      <c r="C46" s="4">
        <v>2</v>
      </c>
      <c r="D46" s="4">
        <v>5</v>
      </c>
      <c r="E46" s="4">
        <v>21</v>
      </c>
      <c r="F46" s="4">
        <v>0</v>
      </c>
      <c r="G46" s="4">
        <v>14</v>
      </c>
      <c r="H46" s="4">
        <v>6</v>
      </c>
      <c r="I46" s="4">
        <v>1</v>
      </c>
      <c r="J46" s="4">
        <v>321.20299999999997</v>
      </c>
    </row>
    <row r="47" spans="1:30">
      <c r="A47" s="4" t="s">
        <v>82</v>
      </c>
      <c r="B47" s="4">
        <v>401</v>
      </c>
      <c r="C47" s="4">
        <v>472</v>
      </c>
      <c r="D47" s="4">
        <v>599</v>
      </c>
      <c r="E47" s="4">
        <v>534</v>
      </c>
      <c r="F47" s="4">
        <v>301</v>
      </c>
      <c r="G47" s="4">
        <v>271</v>
      </c>
      <c r="H47" s="4">
        <v>206</v>
      </c>
      <c r="I47" s="4">
        <v>319</v>
      </c>
      <c r="J47" s="4">
        <v>303.66399999999999</v>
      </c>
    </row>
    <row r="48" spans="1:30">
      <c r="A48" s="4" t="s">
        <v>78</v>
      </c>
      <c r="B48" s="4">
        <v>2469</v>
      </c>
      <c r="C48" s="4">
        <v>1693</v>
      </c>
      <c r="D48" s="4">
        <v>554</v>
      </c>
      <c r="E48" s="4">
        <v>210</v>
      </c>
      <c r="F48" s="4">
        <v>99</v>
      </c>
      <c r="G48" s="4">
        <v>623</v>
      </c>
      <c r="H48" s="4">
        <v>496</v>
      </c>
      <c r="I48" s="4">
        <v>692</v>
      </c>
      <c r="J48" s="4">
        <v>272.27800000000002</v>
      </c>
    </row>
    <row r="49" spans="1:10">
      <c r="A49" s="4" t="s">
        <v>33</v>
      </c>
      <c r="B49" s="4">
        <v>264188</v>
      </c>
      <c r="C49" s="4">
        <v>241625</v>
      </c>
      <c r="D49" s="4">
        <v>225407</v>
      </c>
      <c r="E49" s="4">
        <v>228181</v>
      </c>
      <c r="F49" s="4">
        <v>201554</v>
      </c>
      <c r="G49" s="4">
        <v>211139</v>
      </c>
      <c r="H49" s="4">
        <v>213051</v>
      </c>
      <c r="I49" s="4">
        <v>209659</v>
      </c>
      <c r="J49" s="4">
        <v>188.86099999999999</v>
      </c>
    </row>
    <row r="50" spans="1:10">
      <c r="A50" s="4" t="s">
        <v>19</v>
      </c>
      <c r="B50" s="4">
        <v>0</v>
      </c>
      <c r="C50" s="4">
        <v>4</v>
      </c>
      <c r="D50" s="4">
        <v>4</v>
      </c>
      <c r="E50" s="4">
        <v>11</v>
      </c>
      <c r="F50" s="4">
        <v>0</v>
      </c>
      <c r="G50" s="4">
        <v>0</v>
      </c>
      <c r="H50" s="4">
        <v>0</v>
      </c>
      <c r="I50" s="4">
        <v>1</v>
      </c>
      <c r="J50" s="4">
        <v>153.107</v>
      </c>
    </row>
    <row r="51" spans="1:10">
      <c r="A51" s="4" t="s">
        <v>91</v>
      </c>
      <c r="B51" s="4">
        <v>0</v>
      </c>
      <c r="C51" s="4">
        <v>255</v>
      </c>
      <c r="D51" s="4">
        <v>137</v>
      </c>
      <c r="E51" s="4">
        <v>165</v>
      </c>
      <c r="F51" s="4">
        <v>165</v>
      </c>
      <c r="G51" s="4">
        <v>149</v>
      </c>
      <c r="H51" s="4">
        <v>85</v>
      </c>
      <c r="I51" s="4">
        <v>116</v>
      </c>
      <c r="J51" s="4">
        <v>113.431</v>
      </c>
    </row>
    <row r="52" spans="1:10">
      <c r="A52" s="4" t="s">
        <v>133</v>
      </c>
      <c r="B52" s="4">
        <v>3</v>
      </c>
      <c r="C52" s="4">
        <v>2</v>
      </c>
      <c r="D52" s="4">
        <v>1</v>
      </c>
      <c r="E52" s="4">
        <v>0</v>
      </c>
      <c r="F52" s="4">
        <v>5</v>
      </c>
      <c r="G52" s="4">
        <v>18</v>
      </c>
      <c r="H52" s="4">
        <v>0</v>
      </c>
      <c r="I52" s="4">
        <v>0</v>
      </c>
      <c r="J52" s="4">
        <v>99.942999999999998</v>
      </c>
    </row>
    <row r="53" spans="1:10">
      <c r="A53" s="4" t="s">
        <v>79</v>
      </c>
      <c r="B53" s="4">
        <v>389</v>
      </c>
      <c r="C53" s="4">
        <v>497</v>
      </c>
      <c r="D53" s="4">
        <v>937</v>
      </c>
      <c r="E53" s="4">
        <v>978</v>
      </c>
      <c r="F53" s="4">
        <v>1344</v>
      </c>
      <c r="G53" s="4">
        <v>1252</v>
      </c>
      <c r="H53" s="4"/>
      <c r="I53" s="4">
        <v>410</v>
      </c>
      <c r="J53" s="4">
        <v>91.203000000000003</v>
      </c>
    </row>
    <row r="54" spans="1:10">
      <c r="A54" s="4" t="s">
        <v>81</v>
      </c>
      <c r="B54" s="4">
        <v>729</v>
      </c>
      <c r="C54" s="4">
        <v>620</v>
      </c>
      <c r="D54" s="4">
        <v>770</v>
      </c>
      <c r="E54" s="4">
        <v>494</v>
      </c>
      <c r="F54" s="4">
        <v>685</v>
      </c>
      <c r="G54" s="4">
        <v>642</v>
      </c>
      <c r="H54" s="4">
        <v>69</v>
      </c>
      <c r="I54" s="4">
        <v>125</v>
      </c>
      <c r="J54" s="4">
        <v>84.852000000000004</v>
      </c>
    </row>
    <row r="55" spans="1:10">
      <c r="A55" s="4" t="s">
        <v>98</v>
      </c>
      <c r="B55" s="4">
        <v>43</v>
      </c>
      <c r="C55" s="4">
        <v>40</v>
      </c>
      <c r="D55" s="4">
        <v>56</v>
      </c>
      <c r="E55" s="4">
        <v>44</v>
      </c>
      <c r="F55" s="4">
        <v>48</v>
      </c>
      <c r="G55" s="4">
        <v>37</v>
      </c>
      <c r="H55" s="4">
        <v>43</v>
      </c>
      <c r="I55" s="4">
        <v>49</v>
      </c>
      <c r="J55" s="4">
        <v>40.811</v>
      </c>
    </row>
    <row r="56" spans="1:10">
      <c r="A56" s="4" t="s">
        <v>104</v>
      </c>
      <c r="B56" s="4">
        <v>22</v>
      </c>
      <c r="C56" s="4">
        <v>16</v>
      </c>
      <c r="D56" s="4">
        <v>11</v>
      </c>
      <c r="E56" s="4">
        <v>6</v>
      </c>
      <c r="F56" s="4">
        <v>11</v>
      </c>
      <c r="G56" s="4">
        <v>18</v>
      </c>
      <c r="H56" s="4">
        <v>186</v>
      </c>
      <c r="I56" s="4">
        <v>15</v>
      </c>
      <c r="J56" s="4">
        <v>28.78</v>
      </c>
    </row>
    <row r="57" spans="1:10">
      <c r="A57" s="4" t="s">
        <v>92</v>
      </c>
      <c r="B57" s="4">
        <v>0</v>
      </c>
      <c r="C57" s="4">
        <v>0</v>
      </c>
      <c r="D57" s="4">
        <v>0</v>
      </c>
      <c r="E57" s="4">
        <v>2</v>
      </c>
      <c r="F57" s="4">
        <v>147</v>
      </c>
      <c r="G57" s="4">
        <v>216</v>
      </c>
      <c r="H57" s="4">
        <v>364</v>
      </c>
      <c r="I57" s="4">
        <v>315</v>
      </c>
      <c r="J57" s="4">
        <v>18.826000000000001</v>
      </c>
    </row>
    <row r="58" spans="1:10">
      <c r="A58" s="4" t="s">
        <v>141</v>
      </c>
      <c r="B58" s="4">
        <v>0</v>
      </c>
      <c r="C58" s="4">
        <v>0</v>
      </c>
      <c r="D58" s="4">
        <v>0</v>
      </c>
      <c r="E58" s="4">
        <v>1</v>
      </c>
      <c r="F58" s="4">
        <v>0</v>
      </c>
      <c r="G58" s="4">
        <v>7</v>
      </c>
      <c r="H58" s="4">
        <v>4</v>
      </c>
      <c r="I58" s="4">
        <v>4</v>
      </c>
      <c r="J58" s="4">
        <v>7.08</v>
      </c>
    </row>
    <row r="59" spans="1:10">
      <c r="A59" s="4" t="s">
        <v>136</v>
      </c>
      <c r="B59" s="4">
        <v>0</v>
      </c>
      <c r="C59" s="4">
        <v>0</v>
      </c>
      <c r="D59" s="4">
        <v>2</v>
      </c>
      <c r="E59" s="4">
        <v>0</v>
      </c>
      <c r="F59" s="4">
        <v>0</v>
      </c>
      <c r="G59" s="4">
        <v>1</v>
      </c>
      <c r="H59" s="4">
        <v>5</v>
      </c>
      <c r="I59" s="4">
        <v>12</v>
      </c>
      <c r="J59" s="4">
        <v>6.3339999999999996</v>
      </c>
    </row>
    <row r="60" spans="1:10">
      <c r="A60" s="4" t="s">
        <v>67</v>
      </c>
      <c r="B60" s="4">
        <v>10927</v>
      </c>
      <c r="C60" s="4">
        <v>6455</v>
      </c>
      <c r="D60" s="4">
        <v>6591</v>
      </c>
      <c r="E60" s="4">
        <v>5108</v>
      </c>
      <c r="F60" s="4">
        <v>1101</v>
      </c>
      <c r="G60" s="4">
        <v>634</v>
      </c>
      <c r="H60" s="4">
        <v>984</v>
      </c>
      <c r="I60" s="4">
        <v>119</v>
      </c>
      <c r="J60" s="4">
        <v>5.6859999999999999</v>
      </c>
    </row>
    <row r="61" spans="1:10">
      <c r="A61" s="4" t="s">
        <v>113</v>
      </c>
      <c r="B61" s="4">
        <v>51</v>
      </c>
      <c r="C61" s="4">
        <v>34</v>
      </c>
      <c r="D61" s="4">
        <v>0</v>
      </c>
      <c r="E61" s="4">
        <v>0</v>
      </c>
      <c r="F61" s="4">
        <v>7</v>
      </c>
      <c r="G61" s="4">
        <v>1</v>
      </c>
      <c r="H61" s="4">
        <v>10</v>
      </c>
      <c r="I61" s="4">
        <v>0</v>
      </c>
      <c r="J61" s="4">
        <v>5.38</v>
      </c>
    </row>
    <row r="62" spans="1:10">
      <c r="A62" s="4" t="s">
        <v>120</v>
      </c>
      <c r="B62" s="4">
        <v>17</v>
      </c>
      <c r="C62" s="4">
        <v>32</v>
      </c>
      <c r="D62" s="4">
        <v>3</v>
      </c>
      <c r="E62" s="4">
        <v>4</v>
      </c>
      <c r="F62" s="4">
        <v>0</v>
      </c>
      <c r="G62" s="4">
        <v>8</v>
      </c>
      <c r="H62" s="4">
        <v>1</v>
      </c>
      <c r="I62" s="4">
        <v>0</v>
      </c>
      <c r="J62" s="4">
        <v>2.863</v>
      </c>
    </row>
    <row r="63" spans="1:10">
      <c r="A63" s="4" t="s">
        <v>150</v>
      </c>
      <c r="B63" s="4">
        <v>3</v>
      </c>
      <c r="C63" s="4">
        <v>0</v>
      </c>
      <c r="D63" s="4">
        <v>1</v>
      </c>
      <c r="E63" s="4">
        <v>0</v>
      </c>
      <c r="F63" s="4">
        <v>1</v>
      </c>
      <c r="G63" s="4">
        <v>1</v>
      </c>
      <c r="H63" s="4">
        <v>1</v>
      </c>
      <c r="I63" s="4">
        <v>1</v>
      </c>
      <c r="J63" s="4">
        <v>2.597</v>
      </c>
    </row>
    <row r="64" spans="1:10">
      <c r="A64" s="4" t="s">
        <v>135</v>
      </c>
      <c r="B64" s="4">
        <v>7</v>
      </c>
      <c r="C64" s="4">
        <v>2</v>
      </c>
      <c r="D64" s="4">
        <v>0</v>
      </c>
      <c r="E64" s="4">
        <v>1</v>
      </c>
      <c r="F64" s="4">
        <v>0</v>
      </c>
      <c r="G64" s="4">
        <v>0</v>
      </c>
      <c r="H64" s="4">
        <v>1</v>
      </c>
      <c r="I64" s="4">
        <v>11</v>
      </c>
      <c r="J64" s="4">
        <v>2</v>
      </c>
    </row>
    <row r="65" spans="1:10">
      <c r="A65" s="4" t="s">
        <v>123</v>
      </c>
      <c r="B65" s="4">
        <v>12</v>
      </c>
      <c r="C65" s="4">
        <v>1</v>
      </c>
      <c r="D65" s="4">
        <v>17</v>
      </c>
      <c r="E65" s="4">
        <v>2</v>
      </c>
      <c r="F65" s="4">
        <v>2</v>
      </c>
      <c r="G65" s="4">
        <v>14</v>
      </c>
      <c r="H65" s="4">
        <v>2</v>
      </c>
      <c r="I65" s="4">
        <v>2</v>
      </c>
      <c r="J65" s="4">
        <v>1.298</v>
      </c>
    </row>
    <row r="66" spans="1:10">
      <c r="A66" s="4" t="s">
        <v>87</v>
      </c>
      <c r="B66" s="4">
        <v>569</v>
      </c>
      <c r="C66" s="4">
        <v>0</v>
      </c>
      <c r="D66" s="4">
        <v>849</v>
      </c>
      <c r="E66" s="4">
        <v>700</v>
      </c>
      <c r="F66" s="4">
        <v>152</v>
      </c>
      <c r="G66" s="4">
        <v>12</v>
      </c>
      <c r="H66" s="4">
        <v>25</v>
      </c>
      <c r="I66" s="4">
        <v>25</v>
      </c>
      <c r="J66" s="4">
        <v>1.042</v>
      </c>
    </row>
    <row r="67" spans="1:10">
      <c r="A67" s="4" t="s">
        <v>117</v>
      </c>
      <c r="B67" s="4">
        <v>24</v>
      </c>
      <c r="C67" s="4">
        <v>9</v>
      </c>
      <c r="D67" s="4">
        <v>3</v>
      </c>
      <c r="E67" s="4">
        <v>24</v>
      </c>
      <c r="F67" s="4">
        <v>9</v>
      </c>
      <c r="G67" s="4">
        <v>0</v>
      </c>
      <c r="H67" s="4">
        <v>4</v>
      </c>
      <c r="I67" s="4">
        <v>4</v>
      </c>
      <c r="J67" s="4">
        <v>0.89600000000000002</v>
      </c>
    </row>
    <row r="68" spans="1:10">
      <c r="A68" s="4" t="s">
        <v>138</v>
      </c>
      <c r="B68" s="4">
        <v>0</v>
      </c>
      <c r="C68" s="4">
        <v>0</v>
      </c>
      <c r="D68" s="4">
        <v>1</v>
      </c>
      <c r="E68" s="4">
        <v>0</v>
      </c>
      <c r="F68" s="4">
        <v>14</v>
      </c>
      <c r="G68" s="4">
        <v>0</v>
      </c>
      <c r="H68" s="4">
        <v>3</v>
      </c>
      <c r="I68" s="4">
        <v>1</v>
      </c>
      <c r="J68" s="4">
        <v>0.23899999999999999</v>
      </c>
    </row>
    <row r="69" spans="1:10">
      <c r="A69" s="4" t="s">
        <v>180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0.14499999999999999</v>
      </c>
    </row>
    <row r="70" spans="1:10">
      <c r="A70" s="4" t="s">
        <v>88</v>
      </c>
      <c r="B70" s="4">
        <v>63</v>
      </c>
      <c r="C70" s="4">
        <v>621</v>
      </c>
      <c r="D70" s="4">
        <v>519</v>
      </c>
      <c r="E70" s="4">
        <v>396</v>
      </c>
      <c r="F70" s="4">
        <v>394</v>
      </c>
      <c r="G70" s="4">
        <v>150</v>
      </c>
      <c r="H70" s="4">
        <v>36</v>
      </c>
      <c r="I70" s="4">
        <v>108</v>
      </c>
      <c r="J70" s="4">
        <v>8.4000000000000005E-2</v>
      </c>
    </row>
    <row r="71" spans="1:10">
      <c r="A71" s="4" t="s">
        <v>140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16</v>
      </c>
      <c r="J71" s="4">
        <v>0.05</v>
      </c>
    </row>
    <row r="72" spans="1:10">
      <c r="A72" s="4" t="s">
        <v>90</v>
      </c>
      <c r="B72" s="4">
        <v>38</v>
      </c>
      <c r="C72" s="4">
        <v>39</v>
      </c>
      <c r="D72" s="4">
        <v>40</v>
      </c>
      <c r="E72" s="4">
        <v>61</v>
      </c>
      <c r="F72" s="4">
        <v>469</v>
      </c>
      <c r="G72" s="4">
        <v>560</v>
      </c>
      <c r="H72" s="4">
        <v>73</v>
      </c>
      <c r="I72" s="4">
        <v>0</v>
      </c>
      <c r="J72" s="4">
        <v>2.3E-2</v>
      </c>
    </row>
    <row r="73" spans="1:10">
      <c r="A73" s="4" t="s">
        <v>157</v>
      </c>
      <c r="B73" s="4">
        <v>0</v>
      </c>
      <c r="C73" s="4">
        <v>0</v>
      </c>
      <c r="D73" s="4">
        <v>0</v>
      </c>
      <c r="E73" s="4">
        <v>1</v>
      </c>
      <c r="F73" s="4">
        <v>0</v>
      </c>
      <c r="G73" s="4">
        <v>5</v>
      </c>
      <c r="H73" s="4">
        <v>0</v>
      </c>
      <c r="I73" s="4">
        <v>0</v>
      </c>
      <c r="J73" s="4">
        <v>2.1000000000000001E-2</v>
      </c>
    </row>
    <row r="74" spans="1:10">
      <c r="A74" s="4" t="s">
        <v>122</v>
      </c>
      <c r="B74" s="4">
        <v>0</v>
      </c>
      <c r="C74" s="4">
        <v>0</v>
      </c>
      <c r="D74" s="4">
        <v>0</v>
      </c>
      <c r="E74" s="4">
        <v>16</v>
      </c>
      <c r="F74" s="4">
        <v>0</v>
      </c>
      <c r="G74" s="4">
        <v>37</v>
      </c>
      <c r="H74" s="4">
        <v>1</v>
      </c>
      <c r="I74" s="4">
        <v>0</v>
      </c>
      <c r="J74" s="4">
        <v>8.9999999999999993E-3</v>
      </c>
    </row>
    <row r="75" spans="1:10">
      <c r="A75" s="4" t="s">
        <v>184</v>
      </c>
      <c r="B75" s="4"/>
      <c r="C75" s="4"/>
      <c r="D75" s="4"/>
      <c r="E75" s="4">
        <v>0</v>
      </c>
      <c r="F75" s="4"/>
      <c r="G75" s="4"/>
      <c r="H75" s="4"/>
      <c r="I75" s="4"/>
      <c r="J75" s="4">
        <v>0</v>
      </c>
    </row>
    <row r="76" spans="1:10">
      <c r="A76" s="4" t="s">
        <v>185</v>
      </c>
      <c r="B76" s="4">
        <v>0</v>
      </c>
      <c r="C76" s="4">
        <v>0</v>
      </c>
      <c r="D76" s="4"/>
      <c r="E76" s="4"/>
      <c r="F76" s="4"/>
      <c r="G76" s="4"/>
      <c r="H76" s="4"/>
      <c r="I76" s="4"/>
      <c r="J76" s="4">
        <v>0</v>
      </c>
    </row>
    <row r="77" spans="1:10">
      <c r="A77" s="4" t="s">
        <v>169</v>
      </c>
      <c r="B77" s="4">
        <v>0</v>
      </c>
      <c r="C77" s="4">
        <v>0</v>
      </c>
      <c r="D77" s="4">
        <v>1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</row>
    <row r="78" spans="1:10">
      <c r="A78" s="4" t="s">
        <v>149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9</v>
      </c>
      <c r="I78" s="4"/>
      <c r="J78" s="4">
        <v>0</v>
      </c>
    </row>
    <row r="79" spans="1:10">
      <c r="A79" s="4" t="s">
        <v>121</v>
      </c>
      <c r="B79" s="4">
        <v>15</v>
      </c>
      <c r="C79" s="4">
        <v>40</v>
      </c>
      <c r="D79" s="4"/>
      <c r="E79" s="4"/>
      <c r="F79" s="4"/>
      <c r="G79" s="4"/>
      <c r="H79" s="4"/>
      <c r="I79" s="4"/>
      <c r="J79" s="4">
        <v>0</v>
      </c>
    </row>
    <row r="80" spans="1:10">
      <c r="A80" s="4" t="s">
        <v>130</v>
      </c>
      <c r="B80" s="4">
        <v>33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/>
      <c r="J80" s="4">
        <v>0</v>
      </c>
    </row>
    <row r="81" spans="1:10">
      <c r="A81" s="4" t="s">
        <v>110</v>
      </c>
      <c r="B81" s="4">
        <v>37</v>
      </c>
      <c r="C81" s="4">
        <v>28</v>
      </c>
      <c r="D81" s="4">
        <v>0</v>
      </c>
      <c r="E81" s="4">
        <v>8</v>
      </c>
      <c r="F81" s="4">
        <v>25</v>
      </c>
      <c r="G81" s="4">
        <v>6</v>
      </c>
      <c r="H81" s="4">
        <v>70</v>
      </c>
      <c r="I81" s="4"/>
      <c r="J81" s="4">
        <v>0</v>
      </c>
    </row>
    <row r="82" spans="1:10">
      <c r="A82" s="4" t="s">
        <v>107</v>
      </c>
      <c r="B82" s="4">
        <v>111</v>
      </c>
      <c r="C82" s="4">
        <v>70</v>
      </c>
      <c r="D82" s="4">
        <v>26</v>
      </c>
      <c r="E82" s="4"/>
      <c r="F82" s="4"/>
      <c r="G82" s="4"/>
      <c r="H82" s="4"/>
      <c r="I82" s="4"/>
      <c r="J82" s="4">
        <v>0</v>
      </c>
    </row>
    <row r="83" spans="1:10">
      <c r="A83" s="4" t="s">
        <v>182</v>
      </c>
      <c r="B83" s="4"/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</row>
    <row r="84" spans="1:10">
      <c r="A84" s="4" t="s">
        <v>112</v>
      </c>
      <c r="B84" s="4"/>
      <c r="C84" s="4"/>
      <c r="D84" s="4"/>
      <c r="E84" s="4"/>
      <c r="F84" s="4"/>
      <c r="G84" s="4">
        <v>120</v>
      </c>
      <c r="H84" s="4">
        <v>3</v>
      </c>
      <c r="I84" s="4"/>
      <c r="J84" s="4">
        <v>0</v>
      </c>
    </row>
    <row r="85" spans="1:10">
      <c r="A85" s="4" t="s">
        <v>145</v>
      </c>
      <c r="B85" s="4">
        <v>0</v>
      </c>
      <c r="C85" s="4">
        <v>0</v>
      </c>
      <c r="D85" s="4">
        <v>8</v>
      </c>
      <c r="E85" s="4">
        <v>4</v>
      </c>
      <c r="F85" s="4">
        <v>2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4" t="s">
        <v>28</v>
      </c>
      <c r="B86" s="4">
        <v>3808233</v>
      </c>
      <c r="C86" s="4">
        <v>3883699</v>
      </c>
      <c r="D86" s="4">
        <v>4037992</v>
      </c>
      <c r="E86" s="4">
        <v>3829973</v>
      </c>
      <c r="F86" s="4">
        <v>3690951</v>
      </c>
      <c r="G86" s="4">
        <v>3591175</v>
      </c>
      <c r="H86" s="4">
        <v>3422441</v>
      </c>
      <c r="I86" s="4">
        <v>3756598</v>
      </c>
      <c r="J86" s="4">
        <v>0</v>
      </c>
    </row>
    <row r="87" spans="1:10">
      <c r="A87" s="4" t="s">
        <v>156</v>
      </c>
      <c r="B87" s="4">
        <v>3</v>
      </c>
      <c r="C87" s="4">
        <v>0</v>
      </c>
      <c r="D87" s="4"/>
      <c r="E87" s="4">
        <v>1</v>
      </c>
      <c r="F87" s="4">
        <v>0</v>
      </c>
      <c r="G87" s="4">
        <v>2</v>
      </c>
      <c r="H87" s="4">
        <v>0</v>
      </c>
      <c r="I87" s="4">
        <v>0</v>
      </c>
      <c r="J87" s="4">
        <v>0</v>
      </c>
    </row>
    <row r="88" spans="1:10">
      <c r="A88" s="4" t="s">
        <v>147</v>
      </c>
      <c r="B88" s="4">
        <v>0</v>
      </c>
      <c r="C88" s="4">
        <v>2</v>
      </c>
      <c r="D88" s="4">
        <v>2</v>
      </c>
      <c r="E88" s="4">
        <v>0</v>
      </c>
      <c r="F88" s="4">
        <v>0</v>
      </c>
      <c r="G88" s="4">
        <v>0</v>
      </c>
      <c r="H88" s="4">
        <v>0</v>
      </c>
      <c r="I88" s="4">
        <v>7</v>
      </c>
      <c r="J88" s="4">
        <v>0</v>
      </c>
    </row>
    <row r="89" spans="1:10">
      <c r="A89" s="4" t="s">
        <v>126</v>
      </c>
      <c r="B89" s="4">
        <v>0</v>
      </c>
      <c r="C89" s="4">
        <v>0</v>
      </c>
      <c r="D89" s="4">
        <v>18</v>
      </c>
      <c r="E89" s="4">
        <v>0</v>
      </c>
      <c r="F89" s="4">
        <v>0</v>
      </c>
      <c r="G89" s="4">
        <v>30</v>
      </c>
      <c r="H89" s="4">
        <v>0</v>
      </c>
      <c r="I89" s="4">
        <v>0</v>
      </c>
      <c r="J89" s="4">
        <v>0</v>
      </c>
    </row>
    <row r="90" spans="1:10">
      <c r="A90" s="4" t="s">
        <v>115</v>
      </c>
      <c r="B90" s="4">
        <v>38</v>
      </c>
      <c r="C90" s="4">
        <v>12</v>
      </c>
      <c r="D90" s="4">
        <v>9</v>
      </c>
      <c r="E90" s="4">
        <v>16</v>
      </c>
      <c r="F90" s="4">
        <v>11</v>
      </c>
      <c r="G90" s="4">
        <v>1</v>
      </c>
      <c r="H90" s="4">
        <v>5</v>
      </c>
      <c r="I90" s="4">
        <v>1</v>
      </c>
      <c r="J90" s="4">
        <v>0</v>
      </c>
    </row>
    <row r="91" spans="1:10">
      <c r="A91" s="4" t="s">
        <v>144</v>
      </c>
      <c r="B91" s="4">
        <v>0</v>
      </c>
      <c r="C91" s="4">
        <v>0</v>
      </c>
      <c r="D91" s="4">
        <v>15</v>
      </c>
      <c r="E91" s="4">
        <v>0</v>
      </c>
      <c r="F91" s="4">
        <v>0</v>
      </c>
      <c r="G91" s="4">
        <v>0</v>
      </c>
      <c r="H91" s="4">
        <v>0</v>
      </c>
      <c r="I91" s="4"/>
      <c r="J91" s="4">
        <v>0</v>
      </c>
    </row>
    <row r="92" spans="1:10">
      <c r="A92" s="4" t="s">
        <v>111</v>
      </c>
      <c r="B92" s="4">
        <v>24</v>
      </c>
      <c r="C92" s="4">
        <v>10</v>
      </c>
      <c r="D92" s="4">
        <v>38</v>
      </c>
      <c r="E92" s="4">
        <v>43</v>
      </c>
      <c r="F92" s="4">
        <v>18</v>
      </c>
      <c r="G92" s="4">
        <v>0</v>
      </c>
      <c r="H92" s="4">
        <v>0</v>
      </c>
      <c r="I92" s="4"/>
      <c r="J92" s="4">
        <v>0</v>
      </c>
    </row>
    <row r="93" spans="1:10">
      <c r="A93" s="4" t="s">
        <v>84</v>
      </c>
      <c r="B93" s="4">
        <v>414</v>
      </c>
      <c r="C93" s="4">
        <v>979</v>
      </c>
      <c r="D93" s="4">
        <v>392</v>
      </c>
      <c r="E93" s="4">
        <v>212</v>
      </c>
      <c r="F93" s="4">
        <v>237</v>
      </c>
      <c r="G93" s="4">
        <v>90</v>
      </c>
      <c r="H93" s="4">
        <v>85</v>
      </c>
      <c r="I93" s="4">
        <v>95</v>
      </c>
      <c r="J93" s="4">
        <v>0</v>
      </c>
    </row>
    <row r="94" spans="1:10">
      <c r="A94" s="4" t="s">
        <v>171</v>
      </c>
      <c r="B94" s="4">
        <v>1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4" t="s">
        <v>76</v>
      </c>
      <c r="B95" s="4">
        <v>310</v>
      </c>
      <c r="C95" s="4">
        <v>308</v>
      </c>
      <c r="D95" s="4">
        <v>248</v>
      </c>
      <c r="E95" s="4">
        <v>661</v>
      </c>
      <c r="F95" s="4">
        <v>1277</v>
      </c>
      <c r="G95" s="4">
        <v>2116</v>
      </c>
      <c r="H95" s="4">
        <v>2040</v>
      </c>
      <c r="I95" s="4">
        <v>2120</v>
      </c>
      <c r="J95" s="4">
        <v>0</v>
      </c>
    </row>
    <row r="96" spans="1:10">
      <c r="A96" s="4" t="s">
        <v>108</v>
      </c>
      <c r="B96" s="4">
        <v>46</v>
      </c>
      <c r="C96" s="4">
        <v>19</v>
      </c>
      <c r="D96" s="4">
        <v>41</v>
      </c>
      <c r="E96" s="4">
        <v>22</v>
      </c>
      <c r="F96" s="4">
        <v>21</v>
      </c>
      <c r="G96" s="4">
        <v>13</v>
      </c>
      <c r="H96" s="4">
        <v>14</v>
      </c>
      <c r="I96" s="4">
        <v>11</v>
      </c>
      <c r="J96" s="4">
        <v>0</v>
      </c>
    </row>
    <row r="97" spans="1:10">
      <c r="A97" s="4" t="s">
        <v>163</v>
      </c>
      <c r="B97" s="4">
        <v>0</v>
      </c>
      <c r="C97" s="4">
        <v>0</v>
      </c>
      <c r="D97" s="4">
        <v>0</v>
      </c>
      <c r="E97" s="4">
        <v>0</v>
      </c>
      <c r="F97" s="4">
        <v>1</v>
      </c>
      <c r="G97" s="4">
        <v>0</v>
      </c>
      <c r="H97" s="4">
        <v>1</v>
      </c>
      <c r="I97" s="4">
        <v>0</v>
      </c>
      <c r="J97" s="4">
        <v>0</v>
      </c>
    </row>
    <row r="98" spans="1:10">
      <c r="A98" s="4" t="s">
        <v>43</v>
      </c>
      <c r="B98" s="4">
        <v>103983</v>
      </c>
      <c r="C98" s="4">
        <v>98166</v>
      </c>
      <c r="D98" s="4">
        <v>105692</v>
      </c>
      <c r="E98" s="4">
        <v>83594</v>
      </c>
      <c r="F98" s="4">
        <v>84925</v>
      </c>
      <c r="G98" s="4">
        <v>76664</v>
      </c>
      <c r="H98" s="4">
        <v>23096</v>
      </c>
      <c r="I98" s="4">
        <v>4724</v>
      </c>
      <c r="J98" s="4">
        <v>0</v>
      </c>
    </row>
    <row r="99" spans="1:10">
      <c r="A99" s="4" t="s">
        <v>86</v>
      </c>
      <c r="B99" s="4">
        <v>93</v>
      </c>
      <c r="C99" s="4">
        <v>258</v>
      </c>
      <c r="D99" s="4">
        <v>1332</v>
      </c>
      <c r="E99" s="4">
        <v>181</v>
      </c>
      <c r="F99" s="4">
        <v>37</v>
      </c>
      <c r="G99" s="4">
        <v>306</v>
      </c>
      <c r="H99" s="4">
        <v>142</v>
      </c>
      <c r="I99" s="4">
        <v>7</v>
      </c>
      <c r="J99" s="4">
        <v>0</v>
      </c>
    </row>
    <row r="100" spans="1:10">
      <c r="A100" s="4" t="s">
        <v>172</v>
      </c>
      <c r="B100" s="4">
        <v>0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4" t="s">
        <v>106</v>
      </c>
      <c r="B101" s="4"/>
      <c r="C101" s="4"/>
      <c r="D101" s="4">
        <v>22</v>
      </c>
      <c r="E101" s="4">
        <v>36</v>
      </c>
      <c r="F101" s="4">
        <v>106</v>
      </c>
      <c r="G101" s="4">
        <v>50</v>
      </c>
      <c r="H101" s="4">
        <v>4</v>
      </c>
      <c r="I101" s="4"/>
      <c r="J101" s="4">
        <v>0</v>
      </c>
    </row>
    <row r="102" spans="1:10">
      <c r="A102" s="4" t="s">
        <v>139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17</v>
      </c>
      <c r="J102" s="4">
        <v>0</v>
      </c>
    </row>
    <row r="103" spans="1:10">
      <c r="A103" s="4" t="s">
        <v>83</v>
      </c>
      <c r="B103" s="4">
        <v>384</v>
      </c>
      <c r="C103" s="4">
        <v>286</v>
      </c>
      <c r="D103" s="4">
        <v>336</v>
      </c>
      <c r="E103" s="4">
        <v>365</v>
      </c>
      <c r="F103" s="4">
        <v>275</v>
      </c>
      <c r="G103" s="4">
        <v>318</v>
      </c>
      <c r="H103" s="4">
        <v>272</v>
      </c>
      <c r="I103" s="4">
        <v>407</v>
      </c>
      <c r="J103" s="4">
        <v>0</v>
      </c>
    </row>
    <row r="104" spans="1:10">
      <c r="A104" s="4" t="s">
        <v>94</v>
      </c>
      <c r="B104" s="4">
        <v>836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4" t="s">
        <v>160</v>
      </c>
      <c r="B105" s="4">
        <v>1</v>
      </c>
      <c r="C105" s="4">
        <v>1</v>
      </c>
      <c r="D105" s="4">
        <v>0</v>
      </c>
      <c r="E105" s="4">
        <v>0</v>
      </c>
      <c r="F105" s="4">
        <v>0</v>
      </c>
      <c r="G105" s="4">
        <v>2</v>
      </c>
      <c r="H105" s="4">
        <v>0</v>
      </c>
      <c r="I105" s="4">
        <v>0</v>
      </c>
      <c r="J105" s="4">
        <v>0</v>
      </c>
    </row>
    <row r="106" spans="1:10">
      <c r="A106" s="4" t="s">
        <v>118</v>
      </c>
      <c r="B106" s="4"/>
      <c r="C106" s="4">
        <v>0</v>
      </c>
      <c r="D106" s="4">
        <v>9</v>
      </c>
      <c r="E106" s="4">
        <v>53</v>
      </c>
      <c r="F106" s="4">
        <v>12</v>
      </c>
      <c r="G106" s="4"/>
      <c r="H106" s="4"/>
      <c r="I106" s="4">
        <v>1</v>
      </c>
      <c r="J106" s="4">
        <v>0</v>
      </c>
    </row>
    <row r="107" spans="1:10">
      <c r="A107" s="4" t="s">
        <v>178</v>
      </c>
      <c r="B107" s="4"/>
      <c r="C107" s="4"/>
      <c r="D107" s="4"/>
      <c r="E107" s="4"/>
      <c r="F107" s="4">
        <v>0</v>
      </c>
      <c r="G107" s="4">
        <v>0</v>
      </c>
      <c r="H107" s="4"/>
      <c r="I107" s="4">
        <v>0</v>
      </c>
      <c r="J107" s="4">
        <v>0</v>
      </c>
    </row>
    <row r="108" spans="1:10">
      <c r="A108" s="4" t="s">
        <v>96</v>
      </c>
      <c r="B108" s="4">
        <v>187</v>
      </c>
      <c r="C108" s="4">
        <v>155</v>
      </c>
      <c r="D108" s="4">
        <v>67</v>
      </c>
      <c r="E108" s="4">
        <v>55</v>
      </c>
      <c r="F108" s="4">
        <v>28</v>
      </c>
      <c r="G108" s="4">
        <v>14</v>
      </c>
      <c r="H108" s="4">
        <v>0</v>
      </c>
      <c r="I108" s="4">
        <v>4</v>
      </c>
      <c r="J108" s="4">
        <v>0</v>
      </c>
    </row>
    <row r="109" spans="1:10">
      <c r="A109" s="4" t="s">
        <v>97</v>
      </c>
      <c r="B109" s="4">
        <v>169</v>
      </c>
      <c r="C109" s="4">
        <v>37</v>
      </c>
      <c r="D109" s="4">
        <v>103</v>
      </c>
      <c r="E109" s="4">
        <v>101</v>
      </c>
      <c r="F109" s="4">
        <v>13</v>
      </c>
      <c r="G109" s="4">
        <v>3</v>
      </c>
      <c r="H109" s="4">
        <v>0</v>
      </c>
      <c r="I109" s="4">
        <v>0</v>
      </c>
      <c r="J109" s="4">
        <v>0</v>
      </c>
    </row>
    <row r="110" spans="1:10">
      <c r="A110" s="4" t="s">
        <v>153</v>
      </c>
      <c r="B110" s="4">
        <v>2</v>
      </c>
      <c r="C110" s="4">
        <v>0</v>
      </c>
      <c r="D110" s="4">
        <v>0</v>
      </c>
      <c r="E110" s="4">
        <v>1</v>
      </c>
      <c r="F110" s="4">
        <v>0</v>
      </c>
      <c r="G110" s="4">
        <v>1</v>
      </c>
      <c r="H110" s="4">
        <v>3</v>
      </c>
      <c r="I110" s="4">
        <v>0</v>
      </c>
      <c r="J110" s="4">
        <v>0</v>
      </c>
    </row>
    <row r="111" spans="1:10">
      <c r="A111" s="4" t="s">
        <v>143</v>
      </c>
      <c r="B111" s="4">
        <v>0</v>
      </c>
      <c r="C111" s="4">
        <v>15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</row>
    <row r="112" spans="1:10">
      <c r="A112" s="4" t="s">
        <v>164</v>
      </c>
      <c r="B112" s="4">
        <v>2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4" t="s">
        <v>99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352</v>
      </c>
      <c r="J113" s="4">
        <v>0</v>
      </c>
    </row>
    <row r="114" spans="1:10">
      <c r="A114" s="4" t="s">
        <v>44</v>
      </c>
      <c r="B114" s="4">
        <v>156746</v>
      </c>
      <c r="C114" s="4">
        <v>166646</v>
      </c>
      <c r="D114" s="4">
        <v>180866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</row>
    <row r="115" spans="1:10">
      <c r="A115" s="4" t="s">
        <v>152</v>
      </c>
      <c r="B115" s="4"/>
      <c r="C115" s="4"/>
      <c r="D115" s="4"/>
      <c r="E115" s="4">
        <v>8</v>
      </c>
      <c r="F115" s="4"/>
      <c r="G115" s="4"/>
      <c r="H115" s="4"/>
      <c r="I115" s="4"/>
      <c r="J115" s="4">
        <v>0</v>
      </c>
    </row>
    <row r="116" spans="1:10">
      <c r="A116" s="4" t="s">
        <v>101</v>
      </c>
      <c r="B116" s="4">
        <v>0</v>
      </c>
      <c r="C116" s="4">
        <v>0</v>
      </c>
      <c r="D116" s="4">
        <v>0</v>
      </c>
      <c r="E116" s="4">
        <v>268</v>
      </c>
      <c r="F116" s="4">
        <v>42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4" t="s">
        <v>70</v>
      </c>
      <c r="B117" s="4">
        <v>5939</v>
      </c>
      <c r="C117" s="4">
        <v>4348</v>
      </c>
      <c r="D117" s="4">
        <v>4058</v>
      </c>
      <c r="E117" s="4">
        <v>123</v>
      </c>
      <c r="F117" s="4">
        <v>2555</v>
      </c>
      <c r="G117" s="4">
        <v>1218</v>
      </c>
      <c r="H117" s="4">
        <v>422</v>
      </c>
      <c r="I117" s="4">
        <v>806</v>
      </c>
      <c r="J117" s="4">
        <v>0</v>
      </c>
    </row>
    <row r="118" spans="1:10">
      <c r="A118" s="4" t="s">
        <v>114</v>
      </c>
      <c r="B118" s="4">
        <v>0</v>
      </c>
      <c r="C118" s="4">
        <v>0</v>
      </c>
      <c r="D118" s="4">
        <v>60</v>
      </c>
      <c r="E118" s="4">
        <v>0</v>
      </c>
      <c r="F118" s="4">
        <v>0</v>
      </c>
      <c r="G118" s="4">
        <v>0</v>
      </c>
      <c r="H118" s="4">
        <v>38</v>
      </c>
      <c r="I118" s="4">
        <v>0</v>
      </c>
      <c r="J118" s="4">
        <v>0</v>
      </c>
    </row>
    <row r="119" spans="1:10">
      <c r="A119" s="4" t="s">
        <v>131</v>
      </c>
      <c r="B119" s="4">
        <v>0</v>
      </c>
      <c r="C119" s="4">
        <v>0</v>
      </c>
      <c r="D119" s="4">
        <v>22</v>
      </c>
      <c r="E119" s="4">
        <v>5</v>
      </c>
      <c r="F119" s="4">
        <v>1</v>
      </c>
      <c r="G119" s="4">
        <v>4</v>
      </c>
      <c r="H119" s="4">
        <v>0</v>
      </c>
      <c r="I119" s="4"/>
      <c r="J119" s="4">
        <v>0</v>
      </c>
    </row>
    <row r="120" spans="1:10">
      <c r="A120" s="4" t="s">
        <v>116</v>
      </c>
      <c r="B120" s="4">
        <v>4</v>
      </c>
      <c r="C120" s="4">
        <v>1</v>
      </c>
      <c r="D120" s="4">
        <v>4</v>
      </c>
      <c r="E120" s="4">
        <v>0</v>
      </c>
      <c r="F120" s="4">
        <v>2</v>
      </c>
      <c r="G120" s="4">
        <v>6</v>
      </c>
      <c r="H120" s="4">
        <v>28</v>
      </c>
      <c r="I120" s="4">
        <v>34</v>
      </c>
      <c r="J120" s="4">
        <v>0</v>
      </c>
    </row>
    <row r="121" spans="1:10">
      <c r="A121" s="4" t="s">
        <v>174</v>
      </c>
      <c r="B121" s="4"/>
      <c r="C121" s="4"/>
      <c r="D121" s="4"/>
      <c r="E121" s="4"/>
      <c r="F121" s="4"/>
      <c r="G121" s="4"/>
      <c r="H121" s="4">
        <v>1</v>
      </c>
      <c r="I121" s="4"/>
      <c r="J121" s="4">
        <v>0</v>
      </c>
    </row>
    <row r="122" spans="1:10">
      <c r="A122" s="4" t="s">
        <v>175</v>
      </c>
      <c r="B122" s="4">
        <v>0</v>
      </c>
      <c r="C122" s="4">
        <v>0</v>
      </c>
      <c r="D122" s="4">
        <v>0</v>
      </c>
      <c r="E122" s="4"/>
      <c r="F122" s="4"/>
      <c r="G122" s="4"/>
      <c r="H122" s="4">
        <v>1</v>
      </c>
      <c r="I122" s="4"/>
      <c r="J122" s="4">
        <v>0</v>
      </c>
    </row>
    <row r="123" spans="1:10">
      <c r="A123" s="4" t="s">
        <v>100</v>
      </c>
      <c r="B123" s="4">
        <v>24</v>
      </c>
      <c r="C123" s="4">
        <v>15</v>
      </c>
      <c r="D123" s="4">
        <v>0</v>
      </c>
      <c r="E123" s="4">
        <v>41</v>
      </c>
      <c r="F123" s="4">
        <v>26</v>
      </c>
      <c r="G123" s="4">
        <v>78</v>
      </c>
      <c r="H123" s="4">
        <v>146</v>
      </c>
      <c r="I123" s="4">
        <v>0</v>
      </c>
      <c r="J123" s="4">
        <v>0</v>
      </c>
    </row>
    <row r="124" spans="1:10">
      <c r="A124" s="4" t="s">
        <v>102</v>
      </c>
      <c r="B124" s="4">
        <v>114</v>
      </c>
      <c r="C124" s="4">
        <v>143</v>
      </c>
      <c r="D124" s="4">
        <v>36</v>
      </c>
      <c r="E124" s="4">
        <v>0</v>
      </c>
      <c r="F124" s="4">
        <v>0</v>
      </c>
      <c r="G124" s="4">
        <v>15</v>
      </c>
      <c r="H124" s="4">
        <v>0</v>
      </c>
      <c r="I124" s="4">
        <v>0</v>
      </c>
      <c r="J124" s="4">
        <v>0</v>
      </c>
    </row>
    <row r="125" spans="1:10">
      <c r="A125" s="4" t="s">
        <v>109</v>
      </c>
      <c r="B125" s="4">
        <v>37</v>
      </c>
      <c r="C125" s="4">
        <v>15</v>
      </c>
      <c r="D125" s="4">
        <v>25</v>
      </c>
      <c r="E125" s="4">
        <v>51</v>
      </c>
      <c r="F125" s="4">
        <v>0</v>
      </c>
      <c r="G125" s="4">
        <v>26</v>
      </c>
      <c r="H125" s="4">
        <v>8</v>
      </c>
      <c r="I125" s="4">
        <v>20</v>
      </c>
      <c r="J125" s="4">
        <v>0</v>
      </c>
    </row>
    <row r="126" spans="1:10">
      <c r="A126" s="4" t="s">
        <v>166</v>
      </c>
      <c r="B126" s="4">
        <v>0</v>
      </c>
      <c r="C126" s="4">
        <v>0</v>
      </c>
      <c r="D126" s="4">
        <v>0</v>
      </c>
      <c r="E126" s="4">
        <v>0</v>
      </c>
      <c r="F126" s="4"/>
      <c r="G126" s="4">
        <v>1</v>
      </c>
      <c r="H126" s="4">
        <v>1</v>
      </c>
      <c r="I126" s="4">
        <v>0</v>
      </c>
      <c r="J126" s="4">
        <v>0</v>
      </c>
    </row>
    <row r="127" spans="1:10">
      <c r="A127" s="4" t="s">
        <v>129</v>
      </c>
      <c r="B127" s="4">
        <v>6</v>
      </c>
      <c r="C127" s="4"/>
      <c r="D127" s="4"/>
      <c r="E127" s="4"/>
      <c r="F127" s="4"/>
      <c r="G127" s="4"/>
      <c r="H127" s="4">
        <v>6</v>
      </c>
      <c r="I127" s="4">
        <v>25</v>
      </c>
      <c r="J127" s="4">
        <v>0</v>
      </c>
    </row>
    <row r="128" spans="1:10">
      <c r="A128" s="4" t="s">
        <v>93</v>
      </c>
      <c r="B128" s="4">
        <v>0</v>
      </c>
      <c r="C128" s="4">
        <v>725</v>
      </c>
      <c r="D128" s="4">
        <v>74</v>
      </c>
      <c r="E128" s="4">
        <v>145</v>
      </c>
      <c r="F128" s="4">
        <v>30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4" t="s">
        <v>146</v>
      </c>
      <c r="B129" s="4"/>
      <c r="C129" s="4"/>
      <c r="D129" s="4">
        <v>13</v>
      </c>
      <c r="E129" s="4"/>
      <c r="F129" s="4"/>
      <c r="G129" s="4"/>
      <c r="H129" s="4"/>
      <c r="I129" s="4"/>
      <c r="J129" s="4">
        <v>0</v>
      </c>
    </row>
    <row r="130" spans="1:10">
      <c r="A130" s="4" t="s">
        <v>183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4" t="s">
        <v>158</v>
      </c>
      <c r="B131" s="4"/>
      <c r="C131" s="4"/>
      <c r="D131" s="4"/>
      <c r="E131" s="4">
        <v>5</v>
      </c>
      <c r="F131" s="4">
        <v>0</v>
      </c>
      <c r="G131" s="4"/>
      <c r="H131" s="4"/>
      <c r="I131" s="4"/>
      <c r="J131" s="4">
        <v>0</v>
      </c>
    </row>
    <row r="132" spans="1:10">
      <c r="A132" s="4" t="s">
        <v>85</v>
      </c>
      <c r="B132" s="4">
        <v>56</v>
      </c>
      <c r="C132" s="4">
        <v>820</v>
      </c>
      <c r="D132" s="4">
        <v>0</v>
      </c>
      <c r="E132" s="4">
        <v>29</v>
      </c>
      <c r="F132" s="4">
        <v>89</v>
      </c>
      <c r="G132" s="4">
        <v>747</v>
      </c>
      <c r="H132" s="4">
        <v>389</v>
      </c>
      <c r="I132" s="4">
        <v>261</v>
      </c>
      <c r="J132" s="4">
        <v>0</v>
      </c>
    </row>
    <row r="133" spans="1:10">
      <c r="A133" s="4" t="s">
        <v>176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4" t="s">
        <v>132</v>
      </c>
      <c r="B134" s="4">
        <v>2</v>
      </c>
      <c r="C134" s="4">
        <v>4</v>
      </c>
      <c r="D134" s="4">
        <v>7</v>
      </c>
      <c r="E134" s="4">
        <v>7</v>
      </c>
      <c r="F134" s="4">
        <v>2</v>
      </c>
      <c r="G134" s="4">
        <v>1</v>
      </c>
      <c r="H134" s="4">
        <v>0</v>
      </c>
      <c r="I134" s="4">
        <v>8</v>
      </c>
      <c r="J134" s="4">
        <v>0</v>
      </c>
    </row>
    <row r="135" spans="1:10">
      <c r="A135" s="4" t="s">
        <v>56</v>
      </c>
      <c r="B135" s="4">
        <v>31860</v>
      </c>
      <c r="C135" s="4">
        <v>10596</v>
      </c>
      <c r="D135" s="4">
        <v>8378</v>
      </c>
      <c r="E135" s="4">
        <v>7137</v>
      </c>
      <c r="F135" s="4">
        <v>8688</v>
      </c>
      <c r="G135" s="4">
        <v>10823</v>
      </c>
      <c r="H135" s="4">
        <v>6068</v>
      </c>
      <c r="I135" s="4">
        <v>1596</v>
      </c>
      <c r="J135" s="4">
        <v>0</v>
      </c>
    </row>
    <row r="136" spans="1:10">
      <c r="A136" s="4" t="s">
        <v>128</v>
      </c>
      <c r="B136" s="4">
        <v>0</v>
      </c>
      <c r="C136" s="4">
        <v>0</v>
      </c>
      <c r="D136" s="4">
        <v>0</v>
      </c>
      <c r="E136" s="4">
        <v>45</v>
      </c>
      <c r="F136" s="4">
        <v>0</v>
      </c>
      <c r="G136" s="4">
        <v>0</v>
      </c>
      <c r="H136" s="4">
        <v>0</v>
      </c>
      <c r="I136" s="4"/>
      <c r="J136" s="4">
        <v>0</v>
      </c>
    </row>
    <row r="137" spans="1:10">
      <c r="A137" s="4" t="s">
        <v>167</v>
      </c>
      <c r="B137" s="4">
        <v>0</v>
      </c>
      <c r="C137" s="4"/>
      <c r="D137" s="4"/>
      <c r="E137" s="4">
        <v>2</v>
      </c>
      <c r="F137" s="4"/>
      <c r="G137" s="4"/>
      <c r="H137" s="4"/>
      <c r="I137" s="4"/>
      <c r="J137" s="4">
        <v>0</v>
      </c>
    </row>
    <row r="138" spans="1:10">
      <c r="A138" s="4" t="s">
        <v>154</v>
      </c>
      <c r="B138" s="4"/>
      <c r="C138" s="4">
        <v>0</v>
      </c>
      <c r="D138" s="4">
        <v>0</v>
      </c>
      <c r="E138" s="4">
        <v>0</v>
      </c>
      <c r="F138" s="4">
        <v>7</v>
      </c>
      <c r="G138" s="4">
        <v>0</v>
      </c>
      <c r="H138" s="4">
        <v>0</v>
      </c>
      <c r="I138" s="4"/>
      <c r="J138" s="4">
        <v>0</v>
      </c>
    </row>
    <row r="139" spans="1:10">
      <c r="A139" s="4" t="s">
        <v>142</v>
      </c>
      <c r="B139" s="4">
        <v>0</v>
      </c>
      <c r="C139" s="4">
        <v>0</v>
      </c>
      <c r="D139" s="4"/>
      <c r="E139" s="4">
        <v>16</v>
      </c>
      <c r="F139" s="4"/>
      <c r="G139" s="4"/>
      <c r="H139" s="4"/>
      <c r="I139" s="4"/>
      <c r="J139" s="4">
        <v>0</v>
      </c>
    </row>
    <row r="140" spans="1:10">
      <c r="A140" s="4" t="s">
        <v>151</v>
      </c>
      <c r="B140" s="4">
        <v>0</v>
      </c>
      <c r="C140" s="4">
        <v>4</v>
      </c>
      <c r="D140" s="4">
        <v>4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4" t="s">
        <v>181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</row>
    <row r="142" spans="1:10">
      <c r="A142" s="4" t="s">
        <v>137</v>
      </c>
      <c r="B142" s="4">
        <v>17</v>
      </c>
      <c r="C142" s="4">
        <v>0</v>
      </c>
      <c r="D142" s="4">
        <v>0</v>
      </c>
      <c r="E142" s="4">
        <v>2</v>
      </c>
      <c r="F142" s="4">
        <v>0</v>
      </c>
      <c r="G142" s="4">
        <v>1</v>
      </c>
      <c r="H142" s="4">
        <v>0</v>
      </c>
      <c r="I142" s="4">
        <v>0</v>
      </c>
      <c r="J142" s="4">
        <v>0</v>
      </c>
    </row>
    <row r="143" spans="1:10">
      <c r="A143" s="4" t="s">
        <v>155</v>
      </c>
      <c r="B143" s="4"/>
      <c r="C143" s="4"/>
      <c r="D143" s="4"/>
      <c r="E143" s="4"/>
      <c r="F143" s="4">
        <v>3</v>
      </c>
      <c r="G143" s="4">
        <v>4</v>
      </c>
      <c r="H143" s="4"/>
      <c r="I143" s="4"/>
      <c r="J143" s="4">
        <v>0</v>
      </c>
    </row>
    <row r="144" spans="1:10">
      <c r="A144" s="4" t="s">
        <v>162</v>
      </c>
      <c r="B144" s="4">
        <v>0</v>
      </c>
      <c r="C144" s="4">
        <v>0</v>
      </c>
      <c r="D144" s="4">
        <v>3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</row>
    <row r="145" spans="1:10">
      <c r="A145" s="4" t="s">
        <v>161</v>
      </c>
      <c r="B145" s="4">
        <v>0</v>
      </c>
      <c r="C145" s="4"/>
      <c r="D145" s="4">
        <v>3</v>
      </c>
      <c r="E145" s="4"/>
      <c r="F145" s="4">
        <v>1</v>
      </c>
      <c r="G145" s="4"/>
      <c r="H145" s="4"/>
      <c r="I145" s="4"/>
      <c r="J145" s="4">
        <v>0</v>
      </c>
    </row>
    <row r="146" spans="1:10">
      <c r="A146" s="4" t="s">
        <v>159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4</v>
      </c>
      <c r="I146" s="4">
        <v>0</v>
      </c>
      <c r="J146" s="4">
        <v>0</v>
      </c>
    </row>
    <row r="147" spans="1:10">
      <c r="A147" s="4" t="s">
        <v>65</v>
      </c>
      <c r="B147" s="4">
        <v>7884</v>
      </c>
      <c r="C147" s="4">
        <v>5782</v>
      </c>
      <c r="D147" s="4">
        <v>2586</v>
      </c>
      <c r="E147" s="4">
        <v>7079</v>
      </c>
      <c r="F147" s="4">
        <v>2216</v>
      </c>
      <c r="G147" s="4">
        <v>2663</v>
      </c>
      <c r="H147" s="4">
        <v>3076</v>
      </c>
      <c r="I147" s="4">
        <v>4937</v>
      </c>
      <c r="J147" s="4">
        <v>0</v>
      </c>
    </row>
    <row r="148" spans="1:10">
      <c r="A148" s="4" t="s">
        <v>74</v>
      </c>
      <c r="B148" s="4">
        <v>278</v>
      </c>
      <c r="C148" s="4">
        <v>781</v>
      </c>
      <c r="D148" s="4">
        <v>1773</v>
      </c>
      <c r="E148" s="4">
        <v>2450</v>
      </c>
      <c r="F148" s="4">
        <v>2093</v>
      </c>
      <c r="G148" s="4">
        <v>1716</v>
      </c>
      <c r="H148" s="4">
        <v>1391</v>
      </c>
      <c r="I148" s="4">
        <v>160</v>
      </c>
      <c r="J148" s="4">
        <v>0</v>
      </c>
    </row>
    <row r="149" spans="1:10">
      <c r="A149" s="4" t="s">
        <v>95</v>
      </c>
      <c r="B149" s="4">
        <v>579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/>
      <c r="J149" s="4">
        <v>0</v>
      </c>
    </row>
    <row r="150" spans="1:10">
      <c r="A150" s="4" t="s">
        <v>148</v>
      </c>
      <c r="B150" s="4">
        <v>9</v>
      </c>
      <c r="C150" s="4">
        <v>0</v>
      </c>
      <c r="D150" s="4">
        <v>0</v>
      </c>
      <c r="E150" s="4"/>
      <c r="F150" s="4"/>
      <c r="G150" s="4">
        <v>0</v>
      </c>
      <c r="H150" s="4"/>
      <c r="I150" s="4">
        <v>0</v>
      </c>
      <c r="J150" s="4">
        <v>0</v>
      </c>
    </row>
    <row r="151" spans="1:10">
      <c r="A151" s="4" t="s">
        <v>89</v>
      </c>
      <c r="B151" s="4">
        <v>4</v>
      </c>
      <c r="C151" s="4">
        <v>2</v>
      </c>
      <c r="D151" s="4">
        <v>1</v>
      </c>
      <c r="E151" s="4">
        <v>2</v>
      </c>
      <c r="F151" s="4">
        <v>0</v>
      </c>
      <c r="G151" s="4">
        <v>935</v>
      </c>
      <c r="H151" s="4">
        <v>363</v>
      </c>
      <c r="I151" s="4">
        <v>0</v>
      </c>
      <c r="J151" s="4">
        <v>0</v>
      </c>
    </row>
    <row r="152" spans="1:10">
      <c r="A152" s="4" t="s">
        <v>127</v>
      </c>
      <c r="B152" s="4">
        <v>47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</row>
    <row r="153" spans="1:10">
      <c r="A153" s="4" t="s">
        <v>170</v>
      </c>
      <c r="B153" s="4"/>
      <c r="C153" s="4"/>
      <c r="D153" s="4"/>
      <c r="E153" s="4"/>
      <c r="F153" s="4"/>
      <c r="G153" s="4"/>
      <c r="H153" s="4">
        <v>1</v>
      </c>
      <c r="I153" s="4">
        <v>0</v>
      </c>
      <c r="J153" s="4">
        <v>0</v>
      </c>
    </row>
    <row r="154" spans="1:10">
      <c r="A154" s="4" t="s">
        <v>179</v>
      </c>
      <c r="B154" s="4">
        <v>0</v>
      </c>
      <c r="C154" s="4"/>
      <c r="D154" s="4"/>
      <c r="E154" s="4"/>
      <c r="F154" s="4"/>
      <c r="G154" s="4"/>
      <c r="H154" s="4"/>
      <c r="I154" s="4">
        <v>0</v>
      </c>
      <c r="J154" s="4">
        <v>0</v>
      </c>
    </row>
    <row r="155" spans="1:10">
      <c r="A155" s="4" t="s">
        <v>134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26</v>
      </c>
      <c r="J155" s="4">
        <v>0</v>
      </c>
    </row>
    <row r="156" spans="1:10">
      <c r="A156" s="4" t="s">
        <v>119</v>
      </c>
      <c r="B156" s="4">
        <v>42</v>
      </c>
      <c r="C156" s="4">
        <v>2</v>
      </c>
      <c r="D156" s="4">
        <v>11</v>
      </c>
      <c r="E156" s="4">
        <v>10</v>
      </c>
      <c r="F156" s="4">
        <v>1</v>
      </c>
      <c r="G156" s="4">
        <v>1</v>
      </c>
      <c r="H156" s="4">
        <v>0</v>
      </c>
      <c r="I156" s="4">
        <v>0</v>
      </c>
      <c r="J156" s="4">
        <v>0</v>
      </c>
    </row>
    <row r="157" spans="1:10">
      <c r="A157" s="4" t="s">
        <v>105</v>
      </c>
      <c r="B157" s="4">
        <v>1</v>
      </c>
      <c r="C157" s="4">
        <v>27</v>
      </c>
      <c r="D157" s="4">
        <v>14</v>
      </c>
      <c r="E157" s="4">
        <v>12</v>
      </c>
      <c r="F157" s="4">
        <v>180</v>
      </c>
      <c r="G157" s="4">
        <v>8</v>
      </c>
      <c r="H157" s="4">
        <v>0</v>
      </c>
      <c r="I157" s="4"/>
      <c r="J157" s="4">
        <v>0</v>
      </c>
    </row>
    <row r="158" spans="1:10">
      <c r="A158" s="4" t="s">
        <v>173</v>
      </c>
      <c r="B158" s="4"/>
      <c r="C158" s="4"/>
      <c r="D158" s="4"/>
      <c r="E158" s="4"/>
      <c r="F158" s="4"/>
      <c r="G158" s="4">
        <v>1</v>
      </c>
      <c r="H158" s="4"/>
      <c r="I158" s="4"/>
      <c r="J158" s="4">
        <v>0</v>
      </c>
    </row>
    <row r="159" spans="1:10">
      <c r="A159" s="4" t="s">
        <v>165</v>
      </c>
      <c r="B159" s="4">
        <v>0</v>
      </c>
      <c r="C159" s="4">
        <v>0</v>
      </c>
      <c r="D159" s="4">
        <v>0</v>
      </c>
      <c r="E159" s="4">
        <v>1</v>
      </c>
      <c r="F159" s="4">
        <v>1</v>
      </c>
      <c r="G159" s="4">
        <v>0</v>
      </c>
      <c r="H159" s="4">
        <v>0</v>
      </c>
      <c r="I159" s="4">
        <v>0</v>
      </c>
      <c r="J159" s="4">
        <v>0</v>
      </c>
    </row>
    <row r="160" spans="1:10">
      <c r="A160" s="4" t="s">
        <v>168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/>
      <c r="I160" s="4">
        <v>1</v>
      </c>
      <c r="J160" s="4">
        <v>0</v>
      </c>
    </row>
    <row r="161" spans="1:11">
      <c r="A161" s="4" t="s">
        <v>125</v>
      </c>
      <c r="B161" s="4">
        <v>0</v>
      </c>
      <c r="C161" s="4">
        <v>0</v>
      </c>
      <c r="D161" s="4">
        <v>0</v>
      </c>
      <c r="E161" s="4">
        <v>0</v>
      </c>
      <c r="F161" s="4">
        <v>25</v>
      </c>
      <c r="G161" s="4">
        <v>25</v>
      </c>
      <c r="H161" s="4"/>
      <c r="I161" s="4">
        <v>0</v>
      </c>
      <c r="J161" s="4">
        <v>0</v>
      </c>
    </row>
    <row r="165" spans="1:11" ht="15">
      <c r="J165"/>
      <c r="K165"/>
    </row>
    <row r="166" spans="1:11" ht="15">
      <c r="J166"/>
      <c r="K166"/>
    </row>
    <row r="167" spans="1:11" ht="15">
      <c r="J167"/>
      <c r="K167"/>
    </row>
    <row r="168" spans="1:11" ht="15">
      <c r="J168"/>
      <c r="K168"/>
    </row>
    <row r="169" spans="1:11" ht="15">
      <c r="J169"/>
      <c r="K169"/>
    </row>
    <row r="170" spans="1:11" ht="15">
      <c r="J170"/>
      <c r="K170"/>
    </row>
    <row r="171" spans="1:11" ht="15">
      <c r="J171"/>
      <c r="K171"/>
    </row>
    <row r="172" spans="1:11" ht="15">
      <c r="J172"/>
      <c r="K172"/>
    </row>
    <row r="173" spans="1:11" ht="15">
      <c r="J173"/>
      <c r="K173"/>
    </row>
    <row r="174" spans="1:11" ht="15">
      <c r="J174"/>
      <c r="K174"/>
    </row>
    <row r="175" spans="1:11" ht="15">
      <c r="J175"/>
      <c r="K175"/>
    </row>
    <row r="176" spans="1:11" ht="15">
      <c r="J176"/>
      <c r="K176"/>
    </row>
    <row r="177" spans="10:11" ht="15">
      <c r="J177"/>
      <c r="K177"/>
    </row>
    <row r="178" spans="10:11" ht="15">
      <c r="J178"/>
      <c r="K178"/>
    </row>
    <row r="179" spans="10:11" ht="15">
      <c r="J179"/>
      <c r="K179"/>
    </row>
    <row r="180" spans="10:11" ht="15">
      <c r="J180"/>
      <c r="K180"/>
    </row>
    <row r="181" spans="10:11" ht="15">
      <c r="J181"/>
      <c r="K181"/>
    </row>
    <row r="182" spans="10:11" ht="15">
      <c r="J182"/>
      <c r="K182"/>
    </row>
    <row r="183" spans="10:11" ht="15">
      <c r="J183"/>
      <c r="K183"/>
    </row>
    <row r="184" spans="10:11" ht="15">
      <c r="J184"/>
      <c r="K184"/>
    </row>
    <row r="185" spans="10:11" ht="15">
      <c r="J185"/>
      <c r="K185"/>
    </row>
    <row r="186" spans="10:11" ht="15">
      <c r="J186"/>
      <c r="K186"/>
    </row>
    <row r="187" spans="10:11" ht="15">
      <c r="J187"/>
      <c r="K187"/>
    </row>
    <row r="188" spans="10:11" ht="15">
      <c r="J188"/>
      <c r="K188"/>
    </row>
    <row r="189" spans="10:11" ht="15">
      <c r="J189"/>
      <c r="K189"/>
    </row>
    <row r="190" spans="10:11" ht="15">
      <c r="J190"/>
      <c r="K190"/>
    </row>
    <row r="191" spans="10:11" ht="15">
      <c r="J191"/>
      <c r="K191"/>
    </row>
    <row r="192" spans="10:11" ht="15">
      <c r="J192"/>
      <c r="K192"/>
    </row>
    <row r="193" spans="10:11" ht="15">
      <c r="J193"/>
      <c r="K193"/>
    </row>
    <row r="194" spans="10:11" ht="15">
      <c r="J194"/>
      <c r="K194"/>
    </row>
    <row r="195" spans="10:11" ht="15">
      <c r="J195"/>
      <c r="K195"/>
    </row>
    <row r="196" spans="10:11" ht="15">
      <c r="J196"/>
      <c r="K196"/>
    </row>
    <row r="197" spans="10:11" ht="15">
      <c r="J197"/>
      <c r="K197"/>
    </row>
    <row r="198" spans="10:11" ht="15">
      <c r="J198"/>
      <c r="K198"/>
    </row>
    <row r="199" spans="10:11" ht="15">
      <c r="J199"/>
      <c r="K199"/>
    </row>
    <row r="200" spans="10:11" ht="15">
      <c r="J200"/>
      <c r="K200"/>
    </row>
    <row r="201" spans="10:11" ht="15">
      <c r="J201"/>
      <c r="K201"/>
    </row>
    <row r="202" spans="10:11" ht="15">
      <c r="J202"/>
      <c r="K202"/>
    </row>
    <row r="203" spans="10:11" ht="15">
      <c r="J203"/>
      <c r="K203"/>
    </row>
    <row r="204" spans="10:11" ht="15">
      <c r="J204"/>
      <c r="K204"/>
    </row>
    <row r="205" spans="10:11" ht="15">
      <c r="J205"/>
      <c r="K205"/>
    </row>
    <row r="206" spans="10:11" ht="15">
      <c r="J206"/>
      <c r="K206"/>
    </row>
    <row r="207" spans="10:11" ht="15">
      <c r="J207"/>
      <c r="K207"/>
    </row>
    <row r="208" spans="10:11" ht="15">
      <c r="J208"/>
      <c r="K208"/>
    </row>
    <row r="209" spans="10:11" ht="15">
      <c r="J209"/>
      <c r="K209"/>
    </row>
    <row r="210" spans="10:11" ht="15">
      <c r="J210"/>
      <c r="K210"/>
    </row>
    <row r="211" spans="10:11" ht="15">
      <c r="J211"/>
      <c r="K211"/>
    </row>
    <row r="212" spans="10:11" ht="15">
      <c r="J212"/>
      <c r="K212"/>
    </row>
    <row r="213" spans="10:11" ht="15">
      <c r="J213"/>
      <c r="K213"/>
    </row>
    <row r="214" spans="10:11" ht="15">
      <c r="J214"/>
      <c r="K214"/>
    </row>
    <row r="215" spans="10:11" ht="15">
      <c r="J215"/>
      <c r="K215"/>
    </row>
    <row r="216" spans="10:11" ht="15">
      <c r="J216"/>
      <c r="K216"/>
    </row>
    <row r="217" spans="10:11" ht="15">
      <c r="J217"/>
      <c r="K217"/>
    </row>
    <row r="218" spans="10:11" ht="15">
      <c r="J218"/>
      <c r="K218"/>
    </row>
    <row r="219" spans="10:11" ht="15">
      <c r="J219"/>
      <c r="K219"/>
    </row>
    <row r="220" spans="10:11" ht="15">
      <c r="J220"/>
      <c r="K220"/>
    </row>
    <row r="221" spans="10:11" ht="15">
      <c r="J221"/>
      <c r="K221"/>
    </row>
    <row r="222" spans="10:11" ht="15">
      <c r="J222"/>
      <c r="K222"/>
    </row>
    <row r="223" spans="10:11" ht="15">
      <c r="J223"/>
      <c r="K223"/>
    </row>
    <row r="224" spans="10:11" ht="15">
      <c r="J224"/>
      <c r="K224"/>
    </row>
    <row r="225" spans="10:11" ht="15">
      <c r="J225"/>
      <c r="K225"/>
    </row>
    <row r="226" spans="10:11" ht="15">
      <c r="J226"/>
      <c r="K226"/>
    </row>
    <row r="227" spans="10:11" ht="15">
      <c r="J227"/>
      <c r="K227"/>
    </row>
    <row r="228" spans="10:11" ht="15">
      <c r="J228"/>
      <c r="K228"/>
    </row>
    <row r="229" spans="10:11" ht="15">
      <c r="J229"/>
      <c r="K229"/>
    </row>
    <row r="230" spans="10:11" ht="15">
      <c r="J230"/>
      <c r="K230"/>
    </row>
    <row r="231" spans="10:11" ht="15">
      <c r="J231"/>
      <c r="K231"/>
    </row>
    <row r="232" spans="10:11" ht="15">
      <c r="J232"/>
      <c r="K232"/>
    </row>
    <row r="233" spans="10:11" ht="15">
      <c r="J233"/>
      <c r="K233"/>
    </row>
    <row r="234" spans="10:11" ht="15">
      <c r="J234"/>
      <c r="K234"/>
    </row>
    <row r="235" spans="10:11" ht="15">
      <c r="J235"/>
      <c r="K235"/>
    </row>
    <row r="236" spans="10:11" ht="15">
      <c r="J236"/>
      <c r="K236"/>
    </row>
    <row r="237" spans="10:11" ht="15">
      <c r="J237"/>
      <c r="K237"/>
    </row>
    <row r="238" spans="10:11" ht="15">
      <c r="J238"/>
      <c r="K238"/>
    </row>
    <row r="239" spans="10:11" ht="15">
      <c r="J239"/>
      <c r="K239"/>
    </row>
    <row r="240" spans="10:11" ht="15">
      <c r="J240"/>
      <c r="K240"/>
    </row>
    <row r="241" spans="10:11" ht="15">
      <c r="J241"/>
      <c r="K241"/>
    </row>
    <row r="242" spans="10:11" ht="15">
      <c r="J242"/>
      <c r="K242"/>
    </row>
    <row r="243" spans="10:11" ht="15">
      <c r="J243"/>
      <c r="K243"/>
    </row>
    <row r="244" spans="10:11" ht="15">
      <c r="J244"/>
      <c r="K244"/>
    </row>
    <row r="245" spans="10:11" ht="15">
      <c r="J245"/>
      <c r="K245"/>
    </row>
    <row r="246" spans="10:11" ht="15">
      <c r="J246"/>
      <c r="K246"/>
    </row>
    <row r="247" spans="10:11" ht="15">
      <c r="J247"/>
      <c r="K247"/>
    </row>
    <row r="248" spans="10:11" ht="15">
      <c r="J248"/>
      <c r="K248"/>
    </row>
    <row r="249" spans="10:11" ht="15">
      <c r="J249"/>
      <c r="K249"/>
    </row>
    <row r="250" spans="10:11" ht="15">
      <c r="J250"/>
      <c r="K250"/>
    </row>
    <row r="251" spans="10:11" ht="15">
      <c r="J251"/>
      <c r="K251"/>
    </row>
    <row r="252" spans="10:11" ht="15">
      <c r="J252"/>
      <c r="K252"/>
    </row>
    <row r="253" spans="10:11" ht="15">
      <c r="J253"/>
      <c r="K253"/>
    </row>
    <row r="254" spans="10:11" ht="15">
      <c r="J254"/>
      <c r="K254"/>
    </row>
    <row r="255" spans="10:11" ht="15">
      <c r="J255"/>
      <c r="K255"/>
    </row>
    <row r="256" spans="10:11" ht="15">
      <c r="J256"/>
      <c r="K256"/>
    </row>
    <row r="257" spans="10:11" ht="15">
      <c r="J257"/>
      <c r="K257"/>
    </row>
    <row r="258" spans="10:11" ht="15">
      <c r="J258"/>
      <c r="K258"/>
    </row>
    <row r="259" spans="10:11" ht="15">
      <c r="J259"/>
      <c r="K259"/>
    </row>
    <row r="260" spans="10:11" ht="15">
      <c r="J260"/>
      <c r="K260"/>
    </row>
    <row r="261" spans="10:11" ht="15">
      <c r="J261"/>
      <c r="K261"/>
    </row>
    <row r="262" spans="10:11" ht="15">
      <c r="J262"/>
      <c r="K262"/>
    </row>
    <row r="263" spans="10:11" ht="15">
      <c r="J263"/>
      <c r="K263"/>
    </row>
    <row r="264" spans="10:11" ht="15">
      <c r="J264"/>
      <c r="K264"/>
    </row>
    <row r="265" spans="10:11" ht="15">
      <c r="J265"/>
      <c r="K265"/>
    </row>
    <row r="266" spans="10:11" ht="15">
      <c r="J266"/>
      <c r="K266"/>
    </row>
    <row r="267" spans="10:11" ht="15">
      <c r="J267"/>
      <c r="K267"/>
    </row>
    <row r="268" spans="10:11" ht="15">
      <c r="J268"/>
      <c r="K268"/>
    </row>
    <row r="269" spans="10:11" ht="15">
      <c r="J269"/>
      <c r="K269"/>
    </row>
    <row r="270" spans="10:11" ht="15">
      <c r="J270"/>
      <c r="K270"/>
    </row>
    <row r="271" spans="10:11" ht="15">
      <c r="J271"/>
      <c r="K271"/>
    </row>
    <row r="272" spans="10:11" ht="15">
      <c r="J272"/>
      <c r="K272"/>
    </row>
    <row r="273" spans="10:11" ht="15">
      <c r="J273"/>
      <c r="K273"/>
    </row>
    <row r="274" spans="10:11" ht="15">
      <c r="J274"/>
      <c r="K274"/>
    </row>
    <row r="275" spans="10:11" ht="15">
      <c r="J275"/>
      <c r="K275"/>
    </row>
    <row r="276" spans="10:11" ht="15">
      <c r="J276"/>
      <c r="K276"/>
    </row>
    <row r="277" spans="10:11" ht="15">
      <c r="J277"/>
      <c r="K277"/>
    </row>
    <row r="278" spans="10:11" ht="15">
      <c r="J278"/>
      <c r="K278"/>
    </row>
    <row r="279" spans="10:11" ht="15">
      <c r="J279"/>
      <c r="K279"/>
    </row>
    <row r="280" spans="10:11" ht="15">
      <c r="J280"/>
      <c r="K280"/>
    </row>
    <row r="281" spans="10:11" ht="15">
      <c r="J281"/>
      <c r="K281"/>
    </row>
    <row r="282" spans="10:11" ht="15">
      <c r="J282"/>
      <c r="K282"/>
    </row>
    <row r="283" spans="10:11" ht="15">
      <c r="J283"/>
      <c r="K283"/>
    </row>
    <row r="284" spans="10:11" ht="15">
      <c r="J284"/>
      <c r="K284"/>
    </row>
    <row r="285" spans="10:11" ht="15">
      <c r="J285"/>
      <c r="K285"/>
    </row>
    <row r="286" spans="10:11" ht="15">
      <c r="J286"/>
      <c r="K286"/>
    </row>
    <row r="287" spans="10:11" ht="15">
      <c r="J287"/>
      <c r="K287"/>
    </row>
    <row r="288" spans="10:11" ht="15">
      <c r="J288"/>
      <c r="K288"/>
    </row>
    <row r="289" spans="10:11" ht="15">
      <c r="J289"/>
      <c r="K289"/>
    </row>
    <row r="290" spans="10:11" ht="15">
      <c r="J290"/>
      <c r="K290"/>
    </row>
    <row r="291" spans="10:11" ht="15">
      <c r="J291"/>
      <c r="K291"/>
    </row>
    <row r="292" spans="10:11" ht="15">
      <c r="J292"/>
      <c r="K292"/>
    </row>
    <row r="293" spans="10:11" ht="15">
      <c r="J293"/>
      <c r="K293"/>
    </row>
    <row r="294" spans="10:11" ht="15">
      <c r="J294"/>
      <c r="K294"/>
    </row>
    <row r="295" spans="10:11" ht="15">
      <c r="J295"/>
      <c r="K295"/>
    </row>
    <row r="296" spans="10:11" ht="15">
      <c r="J296"/>
      <c r="K296"/>
    </row>
    <row r="297" spans="10:11" ht="15">
      <c r="J297"/>
      <c r="K297"/>
    </row>
    <row r="298" spans="10:11" ht="15">
      <c r="J298"/>
      <c r="K298"/>
    </row>
    <row r="299" spans="10:11" ht="15">
      <c r="J299"/>
      <c r="K299"/>
    </row>
    <row r="300" spans="10:11" ht="15">
      <c r="J300"/>
      <c r="K300"/>
    </row>
    <row r="301" spans="10:11" ht="15">
      <c r="J301"/>
      <c r="K301"/>
    </row>
    <row r="302" spans="10:11" ht="15">
      <c r="J302"/>
      <c r="K302"/>
    </row>
    <row r="303" spans="10:11" ht="15">
      <c r="J303"/>
      <c r="K303"/>
    </row>
    <row r="304" spans="10:11" ht="15">
      <c r="J304"/>
      <c r="K304"/>
    </row>
    <row r="305" spans="10:11" ht="15">
      <c r="J305"/>
      <c r="K305"/>
    </row>
    <row r="306" spans="10:11" ht="15">
      <c r="J306"/>
      <c r="K306"/>
    </row>
    <row r="307" spans="10:11" ht="15">
      <c r="J307"/>
      <c r="K307"/>
    </row>
    <row r="308" spans="10:11" ht="15">
      <c r="J308"/>
      <c r="K308"/>
    </row>
    <row r="309" spans="10:11" ht="15">
      <c r="J309"/>
      <c r="K309"/>
    </row>
    <row r="310" spans="10:11" ht="15">
      <c r="J310"/>
      <c r="K310"/>
    </row>
    <row r="311" spans="10:11" ht="15">
      <c r="J311"/>
      <c r="K311"/>
    </row>
    <row r="312" spans="10:11" ht="15">
      <c r="J312"/>
      <c r="K312"/>
    </row>
    <row r="313" spans="10:11" ht="15">
      <c r="J313"/>
      <c r="K313"/>
    </row>
    <row r="314" spans="10:11" ht="15">
      <c r="J314"/>
      <c r="K314"/>
    </row>
    <row r="315" spans="10:11" ht="15">
      <c r="J315"/>
      <c r="K315"/>
    </row>
    <row r="316" spans="10:11" ht="15">
      <c r="J316"/>
      <c r="K316"/>
    </row>
    <row r="317" spans="10:11" ht="15">
      <c r="J317"/>
      <c r="K317"/>
    </row>
    <row r="318" spans="10:11" ht="15">
      <c r="J318"/>
      <c r="K318"/>
    </row>
    <row r="319" spans="10:11" ht="15">
      <c r="J319"/>
      <c r="K319"/>
    </row>
    <row r="320" spans="10:11" ht="15">
      <c r="J320"/>
      <c r="K320"/>
    </row>
    <row r="321" spans="10:11" ht="15">
      <c r="J321"/>
      <c r="K321"/>
    </row>
    <row r="322" spans="10:11" ht="15">
      <c r="J322"/>
      <c r="K322"/>
    </row>
    <row r="323" spans="10:11" ht="15">
      <c r="J323"/>
      <c r="K323"/>
    </row>
    <row r="324" spans="10:11" ht="15">
      <c r="J324"/>
      <c r="K324"/>
    </row>
    <row r="325" spans="10:11" ht="15">
      <c r="J325"/>
      <c r="K325"/>
    </row>
    <row r="326" spans="10:11" ht="15">
      <c r="J326"/>
      <c r="K326"/>
    </row>
  </sheetData>
  <autoFilter ref="A1:I1" xr:uid="{46802437-10BE-429B-8D78-9D3FB7255E4F}"/>
  <sortState xmlns:xlrd2="http://schemas.microsoft.com/office/spreadsheetml/2017/richdata2" ref="A2:I161">
    <sortCondition descending="1" ref="I2:I16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9591-E370-4CDA-8411-703645A56914}">
  <dimension ref="A4:W181"/>
  <sheetViews>
    <sheetView showGridLines="0" topLeftCell="K7" zoomScale="70" zoomScaleNormal="70" workbookViewId="0">
      <selection activeCell="M24" sqref="M24"/>
    </sheetView>
  </sheetViews>
  <sheetFormatPr baseColWidth="10" defaultRowHeight="11.25"/>
  <cols>
    <col min="1" max="1" width="21.28515625" style="1" customWidth="1"/>
    <col min="2" max="9" width="13.85546875" style="1" bestFit="1" customWidth="1"/>
    <col min="10" max="16384" width="11.42578125" style="1"/>
  </cols>
  <sheetData>
    <row r="4" spans="1:23" ht="15">
      <c r="A4" s="31" t="s">
        <v>186</v>
      </c>
      <c r="B4" s="32" t="s">
        <v>187</v>
      </c>
      <c r="C4" s="32" t="s">
        <v>188</v>
      </c>
      <c r="D4" s="32" t="s">
        <v>10</v>
      </c>
      <c r="E4" s="32" t="s">
        <v>189</v>
      </c>
      <c r="F4" s="32" t="s">
        <v>190</v>
      </c>
      <c r="G4" s="32" t="s">
        <v>191</v>
      </c>
      <c r="H4" s="32" t="s">
        <v>11</v>
      </c>
      <c r="I4" s="33" t="s">
        <v>192</v>
      </c>
      <c r="J4" s="32" t="s">
        <v>404</v>
      </c>
      <c r="K4"/>
      <c r="L4"/>
      <c r="N4" s="26"/>
      <c r="O4" s="26">
        <v>2016</v>
      </c>
      <c r="P4" s="26">
        <v>2017</v>
      </c>
      <c r="Q4" s="26">
        <v>2018</v>
      </c>
      <c r="R4" s="26">
        <v>2019</v>
      </c>
      <c r="S4" s="26">
        <v>2020</v>
      </c>
      <c r="T4" s="26">
        <v>2021</v>
      </c>
      <c r="U4" s="26">
        <v>2022</v>
      </c>
      <c r="V4" s="26">
        <v>2023</v>
      </c>
      <c r="W4" s="26">
        <v>2024</v>
      </c>
    </row>
    <row r="5" spans="1:23" ht="15">
      <c r="A5" s="34" t="s">
        <v>20</v>
      </c>
      <c r="B5" s="35">
        <v>938392</v>
      </c>
      <c r="C5" s="35">
        <v>1081279</v>
      </c>
      <c r="D5" s="35">
        <v>1163533</v>
      </c>
      <c r="E5" s="35">
        <v>1356639</v>
      </c>
      <c r="F5" s="35">
        <v>1558502</v>
      </c>
      <c r="G5" s="35">
        <v>1382514</v>
      </c>
      <c r="H5" s="35">
        <v>1849255</v>
      </c>
      <c r="I5" s="36">
        <v>1833081</v>
      </c>
      <c r="J5" s="37">
        <v>2079520.007</v>
      </c>
      <c r="K5"/>
      <c r="L5"/>
      <c r="N5" s="3" t="s">
        <v>194</v>
      </c>
      <c r="O5" s="35">
        <v>5163866</v>
      </c>
      <c r="P5" s="4">
        <v>5456514</v>
      </c>
      <c r="Q5" s="4">
        <v>5786282</v>
      </c>
      <c r="R5" s="4">
        <v>6410034</v>
      </c>
      <c r="S5" s="4">
        <v>6157109</v>
      </c>
      <c r="T5" s="4">
        <v>6229786</v>
      </c>
      <c r="U5" s="4">
        <v>6804046</v>
      </c>
      <c r="V5" s="4">
        <v>6929245</v>
      </c>
      <c r="W5" s="4">
        <v>5942349.907999998</v>
      </c>
    </row>
    <row r="6" spans="1:23" ht="15">
      <c r="A6" s="38" t="s">
        <v>16</v>
      </c>
      <c r="B6" s="4">
        <v>778096</v>
      </c>
      <c r="C6" s="4">
        <v>782225</v>
      </c>
      <c r="D6" s="4">
        <v>887617</v>
      </c>
      <c r="E6" s="4">
        <v>1016961</v>
      </c>
      <c r="F6" s="4">
        <v>833354</v>
      </c>
      <c r="G6" s="4">
        <v>742344</v>
      </c>
      <c r="H6" s="4">
        <v>752170</v>
      </c>
      <c r="I6" s="39">
        <v>944024</v>
      </c>
      <c r="J6" s="4">
        <v>1020565.61</v>
      </c>
      <c r="K6"/>
      <c r="L6"/>
      <c r="O6" s="6">
        <f>(U5-O5)/O5</f>
        <v>0.31762636753161294</v>
      </c>
      <c r="P6" s="6"/>
      <c r="Q6" s="37"/>
      <c r="R6" s="5"/>
      <c r="T6" s="5"/>
    </row>
    <row r="7" spans="1:23" ht="15.75">
      <c r="A7" s="38" t="s">
        <v>18</v>
      </c>
      <c r="B7" s="4">
        <v>91275</v>
      </c>
      <c r="C7" s="4">
        <v>138434</v>
      </c>
      <c r="D7" s="4">
        <v>281674</v>
      </c>
      <c r="E7" s="4">
        <v>472011</v>
      </c>
      <c r="F7" s="4">
        <v>527858</v>
      </c>
      <c r="G7" s="4">
        <v>472225</v>
      </c>
      <c r="H7" s="4">
        <v>533148</v>
      </c>
      <c r="I7" s="39">
        <v>580513</v>
      </c>
      <c r="J7" s="4">
        <v>603559.63500000001</v>
      </c>
      <c r="K7"/>
      <c r="L7" s="154"/>
      <c r="P7" s="153" t="s">
        <v>406</v>
      </c>
      <c r="Q7" s="4"/>
    </row>
    <row r="8" spans="1:23" ht="15">
      <c r="A8" s="38" t="s">
        <v>21</v>
      </c>
      <c r="B8" s="4">
        <v>460229</v>
      </c>
      <c r="C8" s="4">
        <v>478766</v>
      </c>
      <c r="D8" s="4">
        <v>559432</v>
      </c>
      <c r="E8" s="4">
        <v>538864</v>
      </c>
      <c r="F8" s="4">
        <v>512616</v>
      </c>
      <c r="G8" s="4">
        <v>625014</v>
      </c>
      <c r="H8" s="4">
        <v>719379</v>
      </c>
      <c r="I8" s="39">
        <v>567906</v>
      </c>
      <c r="J8" s="4">
        <v>521590.64199999999</v>
      </c>
      <c r="K8"/>
      <c r="L8"/>
    </row>
    <row r="9" spans="1:23" ht="15">
      <c r="A9" s="38" t="s">
        <v>53</v>
      </c>
      <c r="B9" s="4">
        <v>1246721</v>
      </c>
      <c r="C9" s="4">
        <v>1300395</v>
      </c>
      <c r="D9" s="4">
        <v>1099118</v>
      </c>
      <c r="E9" s="4">
        <v>1087313</v>
      </c>
      <c r="F9" s="4">
        <v>934329</v>
      </c>
      <c r="G9" s="4">
        <v>1010719</v>
      </c>
      <c r="H9" s="4">
        <v>1036367</v>
      </c>
      <c r="I9" s="39">
        <v>1109893</v>
      </c>
      <c r="J9" s="4">
        <v>491855.77600000001</v>
      </c>
      <c r="K9"/>
      <c r="L9"/>
    </row>
    <row r="10" spans="1:23" ht="15">
      <c r="A10" s="38" t="s">
        <v>195</v>
      </c>
      <c r="B10" s="4">
        <v>389887</v>
      </c>
      <c r="C10" s="4">
        <v>394733</v>
      </c>
      <c r="D10" s="4">
        <v>417656</v>
      </c>
      <c r="E10" s="4">
        <v>437021</v>
      </c>
      <c r="F10" s="4">
        <v>448781</v>
      </c>
      <c r="G10" s="4">
        <v>476569</v>
      </c>
      <c r="H10" s="4">
        <v>463500</v>
      </c>
      <c r="I10" s="39">
        <v>493015</v>
      </c>
      <c r="J10" s="4">
        <v>352049.408</v>
      </c>
      <c r="K10"/>
      <c r="L10"/>
      <c r="M10" s="4">
        <v>6804046</v>
      </c>
      <c r="N10" s="5">
        <f>M10+M11</f>
        <v>10226487</v>
      </c>
    </row>
    <row r="11" spans="1:23" ht="15">
      <c r="A11" s="38" t="s">
        <v>38</v>
      </c>
      <c r="B11" s="4">
        <v>166224</v>
      </c>
      <c r="C11" s="4">
        <v>154577</v>
      </c>
      <c r="D11" s="4">
        <v>170528</v>
      </c>
      <c r="E11" s="4">
        <v>149851</v>
      </c>
      <c r="F11" s="4">
        <v>157141</v>
      </c>
      <c r="G11" s="4">
        <v>175525</v>
      </c>
      <c r="H11" s="4">
        <v>182797</v>
      </c>
      <c r="I11" s="39">
        <v>176000</v>
      </c>
      <c r="J11" s="4">
        <v>190244.88</v>
      </c>
      <c r="K11"/>
      <c r="L11"/>
      <c r="M11" s="4">
        <v>3422441</v>
      </c>
    </row>
    <row r="12" spans="1:23" ht="15">
      <c r="A12" s="38" t="s">
        <v>197</v>
      </c>
      <c r="B12" s="4">
        <v>78756</v>
      </c>
      <c r="C12" s="4">
        <v>71029</v>
      </c>
      <c r="D12" s="4">
        <v>74296</v>
      </c>
      <c r="E12" s="4">
        <v>96486</v>
      </c>
      <c r="F12" s="4">
        <v>106080</v>
      </c>
      <c r="G12" s="4">
        <v>0</v>
      </c>
      <c r="H12" s="4">
        <v>0</v>
      </c>
      <c r="I12" s="39">
        <v>119469</v>
      </c>
      <c r="J12" s="4">
        <v>103067.298</v>
      </c>
      <c r="K12"/>
      <c r="L12"/>
    </row>
    <row r="13" spans="1:23" ht="15">
      <c r="A13" s="38" t="s">
        <v>49</v>
      </c>
      <c r="B13" s="4">
        <v>255943</v>
      </c>
      <c r="C13" s="4">
        <v>265842</v>
      </c>
      <c r="D13" s="4">
        <v>292100</v>
      </c>
      <c r="E13" s="4">
        <v>299306</v>
      </c>
      <c r="F13" s="4">
        <v>276787</v>
      </c>
      <c r="G13" s="4">
        <v>373702</v>
      </c>
      <c r="H13" s="4">
        <v>342229</v>
      </c>
      <c r="I13" s="39">
        <v>320230</v>
      </c>
      <c r="J13" s="4">
        <v>76620.034</v>
      </c>
      <c r="K13"/>
      <c r="L13"/>
    </row>
    <row r="14" spans="1:23" ht="15">
      <c r="A14" s="38" t="s">
        <v>196</v>
      </c>
      <c r="B14" s="4">
        <v>69277</v>
      </c>
      <c r="C14" s="4">
        <v>95154</v>
      </c>
      <c r="D14" s="4">
        <v>88457</v>
      </c>
      <c r="E14" s="4">
        <v>104640</v>
      </c>
      <c r="F14" s="4">
        <v>103137</v>
      </c>
      <c r="G14" s="4">
        <v>106087</v>
      </c>
      <c r="H14" s="4">
        <v>107982</v>
      </c>
      <c r="I14" s="39">
        <v>105160</v>
      </c>
      <c r="J14" s="4">
        <v>73564.815000000002</v>
      </c>
      <c r="K14"/>
      <c r="L14"/>
    </row>
    <row r="15" spans="1:23">
      <c r="A15" s="38" t="s">
        <v>13</v>
      </c>
      <c r="B15" s="4">
        <v>62167</v>
      </c>
      <c r="C15" s="4">
        <v>66294</v>
      </c>
      <c r="D15" s="4">
        <v>70283</v>
      </c>
      <c r="E15" s="4">
        <v>78178</v>
      </c>
      <c r="F15" s="4">
        <v>80267</v>
      </c>
      <c r="G15" s="4">
        <v>105468</v>
      </c>
      <c r="H15" s="4">
        <v>94105</v>
      </c>
      <c r="I15" s="39">
        <v>66048</v>
      </c>
      <c r="J15" s="4">
        <v>61319.046999999999</v>
      </c>
      <c r="K15" s="5"/>
      <c r="L15" s="5"/>
    </row>
    <row r="16" spans="1:23">
      <c r="A16" s="38" t="s">
        <v>199</v>
      </c>
      <c r="B16" s="4">
        <v>39499</v>
      </c>
      <c r="C16" s="4">
        <v>47367</v>
      </c>
      <c r="D16" s="4">
        <v>43833</v>
      </c>
      <c r="E16" s="4">
        <v>56122</v>
      </c>
      <c r="F16" s="4">
        <v>47672</v>
      </c>
      <c r="G16" s="4">
        <v>65081</v>
      </c>
      <c r="H16" s="4">
        <v>61680</v>
      </c>
      <c r="I16" s="39">
        <v>50432</v>
      </c>
      <c r="J16" s="4">
        <v>42350.516000000003</v>
      </c>
      <c r="K16" s="5"/>
      <c r="L16" s="5"/>
    </row>
    <row r="17" spans="1:12">
      <c r="A17" s="38" t="s">
        <v>201</v>
      </c>
      <c r="B17" s="4">
        <v>37109</v>
      </c>
      <c r="C17" s="4">
        <v>40594</v>
      </c>
      <c r="D17" s="4">
        <v>33557</v>
      </c>
      <c r="E17" s="4">
        <v>42516</v>
      </c>
      <c r="F17" s="4">
        <v>41743</v>
      </c>
      <c r="G17" s="4">
        <v>48664</v>
      </c>
      <c r="H17" s="4">
        <v>45492</v>
      </c>
      <c r="I17" s="39">
        <v>42199</v>
      </c>
      <c r="J17" s="4">
        <v>33799.807000000001</v>
      </c>
      <c r="K17" s="5"/>
      <c r="L17" s="5"/>
    </row>
    <row r="18" spans="1:12">
      <c r="A18" s="38" t="s">
        <v>203</v>
      </c>
      <c r="B18" s="4">
        <v>27755</v>
      </c>
      <c r="C18" s="4">
        <v>26912</v>
      </c>
      <c r="D18" s="4">
        <v>27119</v>
      </c>
      <c r="E18" s="4">
        <v>0</v>
      </c>
      <c r="F18" s="4">
        <v>41329</v>
      </c>
      <c r="G18" s="4">
        <v>42026</v>
      </c>
      <c r="H18" s="4">
        <v>37216</v>
      </c>
      <c r="I18" s="39">
        <v>30212</v>
      </c>
      <c r="J18" s="4">
        <v>31120.258999999998</v>
      </c>
      <c r="K18" s="5"/>
      <c r="L18" s="5"/>
    </row>
    <row r="19" spans="1:12">
      <c r="A19" s="38" t="s">
        <v>211</v>
      </c>
      <c r="B19" s="4">
        <v>350</v>
      </c>
      <c r="C19" s="4">
        <v>277</v>
      </c>
      <c r="D19" s="4">
        <v>490</v>
      </c>
      <c r="E19" s="4">
        <v>2415</v>
      </c>
      <c r="F19" s="4">
        <v>13880</v>
      </c>
      <c r="G19" s="4">
        <v>16056</v>
      </c>
      <c r="H19" s="4">
        <v>18625</v>
      </c>
      <c r="I19" s="39">
        <v>26086</v>
      </c>
      <c r="J19" s="4">
        <v>27663.902999999998</v>
      </c>
      <c r="K19" s="5"/>
      <c r="L19" s="5"/>
    </row>
    <row r="20" spans="1:12">
      <c r="A20" s="38" t="s">
        <v>202</v>
      </c>
      <c r="B20" s="4">
        <v>41677</v>
      </c>
      <c r="C20" s="4">
        <v>48354</v>
      </c>
      <c r="D20" s="4">
        <v>43468</v>
      </c>
      <c r="E20" s="4">
        <v>37054</v>
      </c>
      <c r="F20" s="4">
        <v>34818</v>
      </c>
      <c r="G20" s="4">
        <v>45781</v>
      </c>
      <c r="H20" s="4">
        <v>39946</v>
      </c>
      <c r="I20" s="39">
        <v>37456</v>
      </c>
      <c r="J20" s="4">
        <v>27439.294000000002</v>
      </c>
      <c r="K20" s="5"/>
      <c r="L20" s="5"/>
    </row>
    <row r="21" spans="1:12">
      <c r="A21" s="38" t="s">
        <v>48</v>
      </c>
      <c r="B21" s="4">
        <v>55029</v>
      </c>
      <c r="C21" s="4">
        <v>69790</v>
      </c>
      <c r="D21" s="4">
        <v>64250</v>
      </c>
      <c r="E21" s="4">
        <v>66018</v>
      </c>
      <c r="F21" s="4">
        <v>65540</v>
      </c>
      <c r="G21" s="4">
        <v>69571</v>
      </c>
      <c r="H21" s="4">
        <v>57321</v>
      </c>
      <c r="I21" s="39">
        <v>54333</v>
      </c>
      <c r="J21" s="4">
        <v>26883.727999999999</v>
      </c>
      <c r="K21" s="5"/>
      <c r="L21" s="5"/>
    </row>
    <row r="22" spans="1:12">
      <c r="A22" s="38" t="s">
        <v>12</v>
      </c>
      <c r="B22" s="4">
        <v>18900</v>
      </c>
      <c r="C22" s="4">
        <v>18320</v>
      </c>
      <c r="D22" s="4">
        <v>17425</v>
      </c>
      <c r="E22" s="4">
        <v>15197</v>
      </c>
      <c r="F22" s="4">
        <v>15673</v>
      </c>
      <c r="G22" s="4">
        <v>24426</v>
      </c>
      <c r="H22" s="4">
        <v>23537</v>
      </c>
      <c r="I22" s="39">
        <v>22199</v>
      </c>
      <c r="J22" s="4">
        <v>25258.258999999998</v>
      </c>
      <c r="K22" s="5"/>
      <c r="L22" s="5"/>
    </row>
    <row r="23" spans="1:12">
      <c r="A23" s="38" t="s">
        <v>68</v>
      </c>
      <c r="B23" s="4">
        <v>9850</v>
      </c>
      <c r="C23" s="4">
        <v>12620</v>
      </c>
      <c r="D23" s="4">
        <v>14217</v>
      </c>
      <c r="E23" s="4">
        <v>22677</v>
      </c>
      <c r="F23" s="4">
        <v>26043</v>
      </c>
      <c r="G23" s="4">
        <v>27599</v>
      </c>
      <c r="H23" s="4">
        <v>25727</v>
      </c>
      <c r="I23" s="39">
        <v>24302</v>
      </c>
      <c r="J23" s="4">
        <v>19614.606</v>
      </c>
      <c r="K23" s="5"/>
      <c r="L23" s="5"/>
    </row>
    <row r="24" spans="1:12">
      <c r="A24" s="38" t="s">
        <v>205</v>
      </c>
      <c r="B24" s="4">
        <v>19148</v>
      </c>
      <c r="C24" s="4">
        <v>29531</v>
      </c>
      <c r="D24" s="4">
        <v>26001</v>
      </c>
      <c r="E24" s="4">
        <v>23618</v>
      </c>
      <c r="F24" s="4">
        <v>22413</v>
      </c>
      <c r="G24" s="4">
        <v>26985</v>
      </c>
      <c r="H24" s="4">
        <v>15898</v>
      </c>
      <c r="I24" s="39">
        <v>21081</v>
      </c>
      <c r="J24" s="4">
        <v>16749.851999999999</v>
      </c>
      <c r="K24" s="5"/>
      <c r="L24" s="5"/>
    </row>
    <row r="25" spans="1:12">
      <c r="A25" s="38" t="s">
        <v>207</v>
      </c>
      <c r="B25" s="4">
        <v>18073</v>
      </c>
      <c r="C25" s="4">
        <v>13775</v>
      </c>
      <c r="D25" s="4">
        <v>16215</v>
      </c>
      <c r="E25" s="4">
        <v>12357</v>
      </c>
      <c r="F25" s="4">
        <v>19986</v>
      </c>
      <c r="G25" s="4">
        <v>17046</v>
      </c>
      <c r="H25" s="4">
        <v>11404</v>
      </c>
      <c r="I25" s="39">
        <v>11378</v>
      </c>
      <c r="J25" s="4">
        <v>14623.305</v>
      </c>
      <c r="K25" s="5"/>
      <c r="L25" s="5"/>
    </row>
    <row r="26" spans="1:12">
      <c r="A26" s="38" t="s">
        <v>41</v>
      </c>
      <c r="B26" s="4">
        <v>20144</v>
      </c>
      <c r="C26" s="4">
        <v>23804</v>
      </c>
      <c r="D26" s="4">
        <v>20309</v>
      </c>
      <c r="E26" s="4">
        <v>29306</v>
      </c>
      <c r="F26" s="4">
        <v>25868</v>
      </c>
      <c r="G26" s="4">
        <v>23109</v>
      </c>
      <c r="H26" s="4">
        <v>19554</v>
      </c>
      <c r="I26" s="39">
        <v>30328</v>
      </c>
      <c r="J26" s="4">
        <v>14620.873</v>
      </c>
      <c r="K26" s="5"/>
      <c r="L26" s="5"/>
    </row>
    <row r="27" spans="1:12">
      <c r="A27" s="38" t="s">
        <v>57</v>
      </c>
      <c r="B27" s="4">
        <v>6610</v>
      </c>
      <c r="C27" s="4">
        <v>7935</v>
      </c>
      <c r="D27" s="4">
        <v>13405</v>
      </c>
      <c r="E27" s="4">
        <v>13866</v>
      </c>
      <c r="F27" s="4">
        <v>20427</v>
      </c>
      <c r="G27" s="4">
        <v>32653</v>
      </c>
      <c r="H27" s="4">
        <v>28340</v>
      </c>
      <c r="I27" s="39">
        <v>19713</v>
      </c>
      <c r="J27" s="4">
        <v>13960.846</v>
      </c>
      <c r="K27" s="5"/>
      <c r="L27" s="5"/>
    </row>
    <row r="28" spans="1:12">
      <c r="A28" s="38" t="s">
        <v>82</v>
      </c>
      <c r="B28" s="4">
        <v>64417</v>
      </c>
      <c r="C28" s="4">
        <v>26326</v>
      </c>
      <c r="D28" s="4">
        <v>73582</v>
      </c>
      <c r="E28" s="4">
        <v>83048</v>
      </c>
      <c r="F28" s="4">
        <v>11379</v>
      </c>
      <c r="G28" s="4">
        <v>21160</v>
      </c>
      <c r="H28" s="4">
        <v>45226</v>
      </c>
      <c r="I28" s="39">
        <v>23574</v>
      </c>
      <c r="J28" s="4">
        <v>12771.24</v>
      </c>
      <c r="K28" s="5"/>
      <c r="L28" s="5"/>
    </row>
    <row r="29" spans="1:12">
      <c r="A29" s="38" t="s">
        <v>213</v>
      </c>
      <c r="B29" s="4">
        <v>5735</v>
      </c>
      <c r="C29" s="4">
        <v>5136</v>
      </c>
      <c r="D29" s="4">
        <v>7142</v>
      </c>
      <c r="E29" s="4">
        <v>8709</v>
      </c>
      <c r="F29" s="4">
        <v>9163</v>
      </c>
      <c r="G29" s="4">
        <v>10638</v>
      </c>
      <c r="H29" s="4">
        <v>9993</v>
      </c>
      <c r="I29" s="39">
        <v>9544</v>
      </c>
      <c r="J29" s="4">
        <v>10203.050999999999</v>
      </c>
      <c r="K29" s="5"/>
      <c r="L29" s="5"/>
    </row>
    <row r="30" spans="1:12">
      <c r="A30" s="38" t="s">
        <v>206</v>
      </c>
      <c r="B30" s="4">
        <v>26435</v>
      </c>
      <c r="C30" s="4">
        <v>25073</v>
      </c>
      <c r="D30" s="4">
        <v>18543</v>
      </c>
      <c r="E30" s="4">
        <v>11549</v>
      </c>
      <c r="F30" s="4">
        <v>10846</v>
      </c>
      <c r="G30" s="4">
        <v>11312</v>
      </c>
      <c r="H30" s="4">
        <v>11908</v>
      </c>
      <c r="I30" s="39">
        <v>11373</v>
      </c>
      <c r="J30" s="4">
        <v>9083.982</v>
      </c>
      <c r="K30" s="5"/>
      <c r="L30" s="5"/>
    </row>
    <row r="31" spans="1:12">
      <c r="A31" s="38" t="s">
        <v>209</v>
      </c>
      <c r="B31" s="4">
        <v>9075</v>
      </c>
      <c r="C31" s="4">
        <v>11580</v>
      </c>
      <c r="D31" s="4">
        <v>9172</v>
      </c>
      <c r="E31" s="4">
        <v>7727</v>
      </c>
      <c r="F31" s="4">
        <v>9989</v>
      </c>
      <c r="G31" s="4">
        <v>13896</v>
      </c>
      <c r="H31" s="4">
        <v>11106</v>
      </c>
      <c r="I31" s="39">
        <v>8954</v>
      </c>
      <c r="J31" s="4">
        <v>6401.674</v>
      </c>
      <c r="K31" s="5"/>
      <c r="L31" s="5"/>
    </row>
    <row r="32" spans="1:12">
      <c r="A32" s="38" t="s">
        <v>215</v>
      </c>
      <c r="B32" s="4">
        <v>8667</v>
      </c>
      <c r="C32" s="4">
        <v>12927</v>
      </c>
      <c r="D32" s="4">
        <v>5459</v>
      </c>
      <c r="E32" s="4">
        <v>5665</v>
      </c>
      <c r="F32" s="4">
        <v>6330</v>
      </c>
      <c r="G32" s="4">
        <v>2011</v>
      </c>
      <c r="H32" s="4">
        <v>2202</v>
      </c>
      <c r="I32" s="39">
        <v>7429</v>
      </c>
      <c r="J32" s="4">
        <v>5940.83</v>
      </c>
      <c r="K32" s="5"/>
      <c r="L32" s="5"/>
    </row>
    <row r="33" spans="1:12">
      <c r="A33" s="38" t="s">
        <v>212</v>
      </c>
      <c r="B33" s="4">
        <v>16850</v>
      </c>
      <c r="C33" s="4">
        <v>15571</v>
      </c>
      <c r="D33" s="4">
        <v>15643</v>
      </c>
      <c r="E33" s="4">
        <v>11930</v>
      </c>
      <c r="F33" s="4">
        <v>5242</v>
      </c>
      <c r="G33" s="4">
        <v>2850</v>
      </c>
      <c r="H33" s="4">
        <v>3910</v>
      </c>
      <c r="I33" s="39">
        <v>6180</v>
      </c>
      <c r="J33" s="4">
        <v>4848.5950000000003</v>
      </c>
      <c r="K33" s="5"/>
      <c r="L33" s="5"/>
    </row>
    <row r="34" spans="1:12">
      <c r="A34" s="38" t="s">
        <v>218</v>
      </c>
      <c r="B34" s="4">
        <v>904</v>
      </c>
      <c r="C34" s="4">
        <v>1370</v>
      </c>
      <c r="D34" s="4">
        <v>1650</v>
      </c>
      <c r="E34" s="4">
        <v>2274</v>
      </c>
      <c r="F34" s="4">
        <v>2503</v>
      </c>
      <c r="G34" s="4">
        <v>4388</v>
      </c>
      <c r="H34" s="4">
        <v>3717</v>
      </c>
      <c r="I34" s="39">
        <v>4199</v>
      </c>
      <c r="J34" s="4">
        <v>4123.973</v>
      </c>
      <c r="K34" s="5"/>
      <c r="L34" s="5"/>
    </row>
    <row r="35" spans="1:12">
      <c r="A35" s="38" t="s">
        <v>220</v>
      </c>
      <c r="B35" s="4">
        <v>1635</v>
      </c>
      <c r="C35" s="4">
        <v>1350</v>
      </c>
      <c r="D35" s="4">
        <v>1240</v>
      </c>
      <c r="E35" s="4">
        <v>1287</v>
      </c>
      <c r="F35" s="4">
        <v>1063</v>
      </c>
      <c r="G35" s="4">
        <v>1110</v>
      </c>
      <c r="H35" s="4">
        <v>2231</v>
      </c>
      <c r="I35" s="39">
        <v>1946</v>
      </c>
      <c r="J35" s="4">
        <v>2145.0929999999998</v>
      </c>
      <c r="K35" s="5"/>
      <c r="L35" s="5"/>
    </row>
    <row r="36" spans="1:12">
      <c r="A36" s="38" t="s">
        <v>90</v>
      </c>
      <c r="B36" s="4">
        <v>26</v>
      </c>
      <c r="C36" s="4">
        <v>2</v>
      </c>
      <c r="D36" s="4">
        <v>69</v>
      </c>
      <c r="E36" s="4">
        <v>1491</v>
      </c>
      <c r="F36" s="4">
        <v>796</v>
      </c>
      <c r="G36" s="4">
        <v>1367</v>
      </c>
      <c r="H36" s="4">
        <v>1664</v>
      </c>
      <c r="I36" s="39">
        <v>1691</v>
      </c>
      <c r="J36" s="4">
        <v>1905.162</v>
      </c>
      <c r="K36" s="5"/>
      <c r="L36" s="5"/>
    </row>
    <row r="37" spans="1:12">
      <c r="A37" s="38" t="s">
        <v>226</v>
      </c>
      <c r="B37" s="4">
        <v>647</v>
      </c>
      <c r="C37" s="4">
        <v>757</v>
      </c>
      <c r="D37" s="4">
        <v>770</v>
      </c>
      <c r="E37" s="4">
        <v>1017</v>
      </c>
      <c r="F37" s="4">
        <v>1267</v>
      </c>
      <c r="G37" s="4">
        <v>1623</v>
      </c>
      <c r="H37" s="4">
        <v>1844</v>
      </c>
      <c r="I37" s="39">
        <v>0</v>
      </c>
      <c r="J37" s="4">
        <v>1901.5650000000001</v>
      </c>
      <c r="K37" s="5"/>
      <c r="L37" s="5"/>
    </row>
    <row r="38" spans="1:12">
      <c r="A38" s="38" t="s">
        <v>54</v>
      </c>
      <c r="B38" s="4">
        <v>1315</v>
      </c>
      <c r="C38" s="4">
        <v>1578</v>
      </c>
      <c r="D38" s="4">
        <v>1891</v>
      </c>
      <c r="E38" s="4">
        <v>2353</v>
      </c>
      <c r="F38" s="4">
        <v>1582</v>
      </c>
      <c r="G38" s="4">
        <v>2020</v>
      </c>
      <c r="H38" s="4">
        <v>2308</v>
      </c>
      <c r="I38" s="39">
        <v>2086</v>
      </c>
      <c r="J38" s="4">
        <v>1851.876</v>
      </c>
      <c r="K38" s="5"/>
      <c r="L38" s="5"/>
    </row>
    <row r="39" spans="1:12">
      <c r="A39" s="38" t="s">
        <v>227</v>
      </c>
      <c r="B39" s="4">
        <v>319</v>
      </c>
      <c r="C39" s="4">
        <v>329</v>
      </c>
      <c r="D39" s="4">
        <v>220</v>
      </c>
      <c r="E39" s="4">
        <v>599</v>
      </c>
      <c r="F39" s="4">
        <v>598</v>
      </c>
      <c r="G39" s="4">
        <v>801</v>
      </c>
      <c r="H39" s="4">
        <v>1394</v>
      </c>
      <c r="I39" s="39">
        <v>1336</v>
      </c>
      <c r="J39" s="4">
        <v>1851.249</v>
      </c>
      <c r="K39" s="5"/>
      <c r="L39" s="5"/>
    </row>
    <row r="40" spans="1:12">
      <c r="A40" s="38" t="s">
        <v>216</v>
      </c>
      <c r="B40" s="4">
        <v>3063</v>
      </c>
      <c r="C40" s="4">
        <v>29</v>
      </c>
      <c r="D40" s="4">
        <v>3796</v>
      </c>
      <c r="E40" s="4">
        <v>7241</v>
      </c>
      <c r="F40" s="4">
        <v>7591</v>
      </c>
      <c r="G40" s="4">
        <v>5722</v>
      </c>
      <c r="H40" s="4">
        <v>6363</v>
      </c>
      <c r="I40" s="39">
        <v>3762</v>
      </c>
      <c r="J40" s="4">
        <v>1410.356</v>
      </c>
      <c r="K40" s="5"/>
      <c r="L40" s="5"/>
    </row>
    <row r="41" spans="1:12">
      <c r="A41" s="38" t="s">
        <v>233</v>
      </c>
      <c r="B41" s="4">
        <v>309</v>
      </c>
      <c r="C41" s="4">
        <v>306</v>
      </c>
      <c r="D41" s="4">
        <v>274</v>
      </c>
      <c r="E41" s="4">
        <v>236</v>
      </c>
      <c r="F41" s="4">
        <v>295</v>
      </c>
      <c r="G41" s="4">
        <v>619</v>
      </c>
      <c r="H41" s="4">
        <v>1050</v>
      </c>
      <c r="I41" s="39">
        <v>527</v>
      </c>
      <c r="J41" s="4">
        <v>1109.7239999999999</v>
      </c>
      <c r="K41" s="5"/>
      <c r="L41" s="5"/>
    </row>
    <row r="42" spans="1:12">
      <c r="A42" s="38" t="s">
        <v>224</v>
      </c>
      <c r="B42" s="4">
        <v>700</v>
      </c>
      <c r="C42" s="4">
        <v>864</v>
      </c>
      <c r="D42" s="4">
        <v>1057</v>
      </c>
      <c r="E42" s="4">
        <v>1162</v>
      </c>
      <c r="F42" s="4">
        <v>937</v>
      </c>
      <c r="G42" s="4">
        <v>1341</v>
      </c>
      <c r="H42" s="4">
        <v>1174</v>
      </c>
      <c r="I42" s="39">
        <v>1305</v>
      </c>
      <c r="J42" s="4">
        <v>984.50099999999998</v>
      </c>
      <c r="K42" s="5"/>
      <c r="L42" s="5"/>
    </row>
    <row r="43" spans="1:12">
      <c r="A43" s="38" t="s">
        <v>222</v>
      </c>
      <c r="B43" s="4">
        <v>884</v>
      </c>
      <c r="C43" s="4">
        <v>1338</v>
      </c>
      <c r="D43" s="4">
        <v>1499</v>
      </c>
      <c r="E43" s="4">
        <v>1393</v>
      </c>
      <c r="F43" s="4">
        <v>922</v>
      </c>
      <c r="G43" s="4">
        <v>894</v>
      </c>
      <c r="H43" s="4">
        <v>1114</v>
      </c>
      <c r="I43" s="39">
        <v>921</v>
      </c>
      <c r="J43" s="4">
        <v>971.52499999999998</v>
      </c>
      <c r="K43" s="5"/>
      <c r="L43" s="5"/>
    </row>
    <row r="44" spans="1:12">
      <c r="A44" s="38" t="s">
        <v>79</v>
      </c>
      <c r="B44" s="4">
        <v>374</v>
      </c>
      <c r="C44" s="4">
        <v>1792</v>
      </c>
      <c r="D44" s="4">
        <v>2936</v>
      </c>
      <c r="E44" s="4">
        <v>2994</v>
      </c>
      <c r="F44" s="4">
        <v>2738</v>
      </c>
      <c r="G44" s="4">
        <v>2159</v>
      </c>
      <c r="H44" s="4"/>
      <c r="I44" s="39">
        <v>1530</v>
      </c>
      <c r="J44" s="4">
        <v>889.05</v>
      </c>
      <c r="K44" s="5"/>
      <c r="L44" s="5"/>
    </row>
    <row r="45" spans="1:12">
      <c r="A45" s="38" t="s">
        <v>103</v>
      </c>
      <c r="B45" s="4">
        <v>1392</v>
      </c>
      <c r="C45" s="4">
        <v>1798</v>
      </c>
      <c r="D45" s="4">
        <v>1539</v>
      </c>
      <c r="E45" s="4">
        <v>1184</v>
      </c>
      <c r="F45" s="4">
        <v>1063</v>
      </c>
      <c r="G45" s="4">
        <v>1162</v>
      </c>
      <c r="H45" s="4">
        <v>1509</v>
      </c>
      <c r="I45" s="39">
        <v>1226</v>
      </c>
      <c r="J45" s="4">
        <v>726.68399999999997</v>
      </c>
      <c r="K45" s="5"/>
      <c r="L45" s="5"/>
    </row>
    <row r="46" spans="1:12">
      <c r="A46" s="38" t="s">
        <v>102</v>
      </c>
      <c r="B46" s="4">
        <v>948</v>
      </c>
      <c r="C46" s="4">
        <v>1095</v>
      </c>
      <c r="D46" s="4">
        <v>1410</v>
      </c>
      <c r="E46" s="4">
        <v>1920</v>
      </c>
      <c r="F46" s="4">
        <v>1251</v>
      </c>
      <c r="G46" s="4">
        <v>1396</v>
      </c>
      <c r="H46" s="4">
        <v>1059</v>
      </c>
      <c r="I46" s="39">
        <v>1126</v>
      </c>
      <c r="J46" s="4">
        <v>705.12699999999995</v>
      </c>
      <c r="K46" s="5"/>
      <c r="L46" s="5"/>
    </row>
    <row r="47" spans="1:12">
      <c r="A47" s="38" t="s">
        <v>75</v>
      </c>
      <c r="B47" s="4">
        <v>622</v>
      </c>
      <c r="C47" s="4">
        <v>863</v>
      </c>
      <c r="D47" s="4">
        <v>923</v>
      </c>
      <c r="E47" s="4">
        <v>546</v>
      </c>
      <c r="F47" s="4">
        <v>668</v>
      </c>
      <c r="G47" s="4">
        <v>932</v>
      </c>
      <c r="H47" s="4">
        <v>600</v>
      </c>
      <c r="I47" s="39">
        <v>368</v>
      </c>
      <c r="J47" s="4">
        <v>696.26499999999999</v>
      </c>
      <c r="K47" s="5"/>
      <c r="L47" s="5"/>
    </row>
    <row r="48" spans="1:12">
      <c r="A48" s="38" t="s">
        <v>235</v>
      </c>
      <c r="B48" s="4">
        <v>406</v>
      </c>
      <c r="C48" s="4">
        <v>388</v>
      </c>
      <c r="D48" s="4">
        <v>403</v>
      </c>
      <c r="E48" s="4">
        <v>311</v>
      </c>
      <c r="F48" s="4">
        <v>345</v>
      </c>
      <c r="G48" s="4">
        <v>207</v>
      </c>
      <c r="H48" s="4">
        <v>338</v>
      </c>
      <c r="I48" s="39">
        <v>163</v>
      </c>
      <c r="J48" s="4">
        <v>562.14499999999998</v>
      </c>
      <c r="K48" s="5"/>
      <c r="L48" s="5"/>
    </row>
    <row r="49" spans="1:12">
      <c r="A49" s="38" t="s">
        <v>234</v>
      </c>
      <c r="B49" s="4">
        <v>356</v>
      </c>
      <c r="C49" s="4">
        <v>383</v>
      </c>
      <c r="D49" s="4">
        <v>350</v>
      </c>
      <c r="E49" s="4">
        <v>393</v>
      </c>
      <c r="F49" s="4">
        <v>0</v>
      </c>
      <c r="G49" s="4">
        <v>652</v>
      </c>
      <c r="H49" s="4">
        <v>562</v>
      </c>
      <c r="I49" s="39">
        <v>726</v>
      </c>
      <c r="J49" s="4">
        <v>487.30099999999999</v>
      </c>
      <c r="K49" s="5"/>
      <c r="L49" s="5"/>
    </row>
    <row r="50" spans="1:12">
      <c r="A50" s="38" t="s">
        <v>69</v>
      </c>
      <c r="B50" s="4">
        <v>367</v>
      </c>
      <c r="C50" s="4">
        <v>331</v>
      </c>
      <c r="D50" s="4">
        <v>441</v>
      </c>
      <c r="E50" s="4">
        <v>1839</v>
      </c>
      <c r="F50" s="4">
        <v>1338</v>
      </c>
      <c r="G50" s="4">
        <v>2085</v>
      </c>
      <c r="H50" s="4">
        <v>3171</v>
      </c>
      <c r="I50" s="39">
        <v>662</v>
      </c>
      <c r="J50" s="4">
        <v>429.03899999999999</v>
      </c>
      <c r="K50" s="5"/>
      <c r="L50" s="5"/>
    </row>
    <row r="51" spans="1:12">
      <c r="A51" s="38" t="s">
        <v>230</v>
      </c>
      <c r="B51" s="4">
        <v>1139</v>
      </c>
      <c r="C51" s="4">
        <v>512</v>
      </c>
      <c r="D51" s="4">
        <v>654</v>
      </c>
      <c r="E51" s="4">
        <v>1196</v>
      </c>
      <c r="F51" s="4">
        <v>420</v>
      </c>
      <c r="G51" s="4">
        <v>141</v>
      </c>
      <c r="H51" s="4">
        <v>248</v>
      </c>
      <c r="I51" s="39">
        <v>693</v>
      </c>
      <c r="J51" s="4">
        <v>369.685</v>
      </c>
      <c r="K51" s="5"/>
      <c r="L51" s="5"/>
    </row>
    <row r="52" spans="1:12">
      <c r="A52" s="38" t="s">
        <v>236</v>
      </c>
      <c r="B52" s="4">
        <v>55</v>
      </c>
      <c r="C52" s="4">
        <v>90</v>
      </c>
      <c r="D52" s="4">
        <v>184</v>
      </c>
      <c r="E52" s="4">
        <v>66</v>
      </c>
      <c r="F52" s="4">
        <v>78</v>
      </c>
      <c r="G52" s="4">
        <v>827</v>
      </c>
      <c r="H52" s="4">
        <v>578</v>
      </c>
      <c r="I52" s="39">
        <v>528</v>
      </c>
      <c r="J52" s="4">
        <v>294.61700000000002</v>
      </c>
      <c r="K52" s="5"/>
      <c r="L52" s="5"/>
    </row>
    <row r="53" spans="1:12">
      <c r="A53" s="38" t="s">
        <v>19</v>
      </c>
      <c r="B53" s="4">
        <v>4143</v>
      </c>
      <c r="C53" s="4">
        <v>918</v>
      </c>
      <c r="D53" s="4">
        <v>429</v>
      </c>
      <c r="E53" s="4">
        <v>207</v>
      </c>
      <c r="F53" s="4">
        <v>97</v>
      </c>
      <c r="G53" s="4">
        <v>14</v>
      </c>
      <c r="H53" s="4">
        <v>39</v>
      </c>
      <c r="I53" s="39">
        <v>92</v>
      </c>
      <c r="J53" s="4">
        <v>256.92700000000002</v>
      </c>
      <c r="K53" s="5"/>
      <c r="L53" s="5"/>
    </row>
    <row r="54" spans="1:12">
      <c r="A54" s="38" t="s">
        <v>221</v>
      </c>
      <c r="B54" s="4">
        <v>2199</v>
      </c>
      <c r="C54" s="4">
        <v>2168</v>
      </c>
      <c r="D54" s="4">
        <v>1429</v>
      </c>
      <c r="E54" s="4">
        <v>1155</v>
      </c>
      <c r="F54" s="4">
        <v>735</v>
      </c>
      <c r="G54" s="4">
        <v>550</v>
      </c>
      <c r="H54" s="4">
        <v>936</v>
      </c>
      <c r="I54" s="39">
        <v>479</v>
      </c>
      <c r="J54" s="4">
        <v>194.874</v>
      </c>
      <c r="K54" s="5"/>
      <c r="L54" s="5"/>
    </row>
    <row r="55" spans="1:12">
      <c r="A55" s="38" t="s">
        <v>237</v>
      </c>
      <c r="B55" s="4">
        <v>35</v>
      </c>
      <c r="C55" s="4">
        <v>142</v>
      </c>
      <c r="D55" s="4">
        <v>119</v>
      </c>
      <c r="E55" s="4">
        <v>125</v>
      </c>
      <c r="F55" s="4">
        <v>197</v>
      </c>
      <c r="G55" s="4">
        <v>248</v>
      </c>
      <c r="H55" s="4">
        <v>698</v>
      </c>
      <c r="I55" s="39">
        <v>575</v>
      </c>
      <c r="J55" s="4">
        <v>190.929</v>
      </c>
      <c r="K55" s="5"/>
      <c r="L55" s="5"/>
    </row>
    <row r="56" spans="1:12">
      <c r="A56" s="38" t="s">
        <v>225</v>
      </c>
      <c r="B56" s="4">
        <v>73</v>
      </c>
      <c r="C56" s="4">
        <v>148</v>
      </c>
      <c r="D56" s="4">
        <v>1052</v>
      </c>
      <c r="E56" s="4">
        <v>3962</v>
      </c>
      <c r="F56" s="4">
        <v>1519</v>
      </c>
      <c r="G56" s="4">
        <v>1025</v>
      </c>
      <c r="H56" s="4">
        <v>55</v>
      </c>
      <c r="I56" s="39">
        <v>180</v>
      </c>
      <c r="J56" s="4">
        <v>175.03700000000001</v>
      </c>
      <c r="K56" s="5"/>
      <c r="L56" s="5"/>
    </row>
    <row r="57" spans="1:12">
      <c r="A57" s="38" t="s">
        <v>113</v>
      </c>
      <c r="B57" s="4">
        <v>80</v>
      </c>
      <c r="C57" s="4">
        <v>72</v>
      </c>
      <c r="D57" s="4">
        <v>276</v>
      </c>
      <c r="E57" s="4">
        <v>45</v>
      </c>
      <c r="F57" s="4">
        <v>256</v>
      </c>
      <c r="G57" s="4">
        <v>170</v>
      </c>
      <c r="H57" s="4">
        <v>483</v>
      </c>
      <c r="I57" s="39">
        <v>197</v>
      </c>
      <c r="J57" s="4">
        <v>132.21600000000001</v>
      </c>
      <c r="K57" s="5"/>
      <c r="L57" s="5"/>
    </row>
    <row r="58" spans="1:12">
      <c r="A58" s="38" t="s">
        <v>261</v>
      </c>
      <c r="B58" s="4">
        <v>2</v>
      </c>
      <c r="C58" s="4">
        <v>12</v>
      </c>
      <c r="D58" s="4">
        <v>4</v>
      </c>
      <c r="E58" s="4">
        <v>1</v>
      </c>
      <c r="F58" s="4">
        <v>0</v>
      </c>
      <c r="G58" s="4">
        <v>40</v>
      </c>
      <c r="H58" s="4">
        <v>11</v>
      </c>
      <c r="I58" s="39">
        <v>39</v>
      </c>
      <c r="J58" s="4">
        <v>130.38</v>
      </c>
      <c r="K58" s="5"/>
      <c r="L58" s="5"/>
    </row>
    <row r="59" spans="1:12">
      <c r="A59" s="38" t="s">
        <v>114</v>
      </c>
      <c r="B59" s="4">
        <v>695</v>
      </c>
      <c r="C59" s="4">
        <v>600</v>
      </c>
      <c r="D59" s="4">
        <v>1055</v>
      </c>
      <c r="E59" s="4">
        <v>0</v>
      </c>
      <c r="F59" s="4">
        <v>0</v>
      </c>
      <c r="G59" s="4">
        <v>0</v>
      </c>
      <c r="H59" s="4">
        <v>137</v>
      </c>
      <c r="I59" s="39">
        <v>242</v>
      </c>
      <c r="J59" s="4">
        <v>90</v>
      </c>
      <c r="K59" s="5"/>
      <c r="L59" s="5"/>
    </row>
    <row r="60" spans="1:12">
      <c r="A60" s="38" t="s">
        <v>240</v>
      </c>
      <c r="B60" s="4">
        <v>205</v>
      </c>
      <c r="C60" s="4">
        <v>178</v>
      </c>
      <c r="D60" s="4">
        <v>107</v>
      </c>
      <c r="E60" s="4">
        <v>77</v>
      </c>
      <c r="F60" s="4">
        <v>131</v>
      </c>
      <c r="G60" s="4">
        <v>121</v>
      </c>
      <c r="H60" s="4">
        <v>99</v>
      </c>
      <c r="I60" s="39">
        <v>27</v>
      </c>
      <c r="J60" s="4">
        <v>80.959999999999994</v>
      </c>
      <c r="K60" s="5"/>
      <c r="L60" s="5"/>
    </row>
    <row r="61" spans="1:12">
      <c r="A61" s="38" t="s">
        <v>299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39">
        <v>0</v>
      </c>
      <c r="J61" s="4">
        <v>78.028000000000006</v>
      </c>
      <c r="K61" s="5"/>
      <c r="L61" s="5"/>
    </row>
    <row r="62" spans="1:12">
      <c r="A62" s="38" t="s">
        <v>92</v>
      </c>
      <c r="B62" s="4">
        <v>26</v>
      </c>
      <c r="C62" s="4">
        <v>3</v>
      </c>
      <c r="D62" s="4">
        <v>71</v>
      </c>
      <c r="E62" s="4">
        <v>141</v>
      </c>
      <c r="F62" s="4">
        <v>230</v>
      </c>
      <c r="G62" s="4">
        <v>327</v>
      </c>
      <c r="H62" s="4">
        <v>555</v>
      </c>
      <c r="I62" s="39">
        <v>372</v>
      </c>
      <c r="J62" s="4">
        <v>57.609000000000002</v>
      </c>
      <c r="K62" s="5"/>
      <c r="L62" s="5"/>
    </row>
    <row r="63" spans="1:12">
      <c r="A63" s="38" t="s">
        <v>77</v>
      </c>
      <c r="B63" s="4">
        <v>3691</v>
      </c>
      <c r="C63" s="4">
        <v>405</v>
      </c>
      <c r="D63" s="4">
        <v>224</v>
      </c>
      <c r="E63" s="4">
        <v>187</v>
      </c>
      <c r="F63" s="4">
        <v>224</v>
      </c>
      <c r="G63" s="4">
        <v>466</v>
      </c>
      <c r="H63" s="4">
        <v>87</v>
      </c>
      <c r="I63" s="39">
        <v>96</v>
      </c>
      <c r="J63" s="4">
        <v>48.831000000000003</v>
      </c>
      <c r="K63" s="5"/>
      <c r="L63" s="5"/>
    </row>
    <row r="64" spans="1:12">
      <c r="A64" s="38" t="s">
        <v>271</v>
      </c>
      <c r="B64" s="4">
        <v>0</v>
      </c>
      <c r="C64" s="4">
        <v>44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39">
        <v>0</v>
      </c>
      <c r="J64" s="4">
        <v>36.164999999999999</v>
      </c>
      <c r="K64" s="5"/>
      <c r="L64" s="5"/>
    </row>
    <row r="65" spans="1:12">
      <c r="A65" s="38" t="s">
        <v>200</v>
      </c>
      <c r="B65" s="4">
        <v>41341</v>
      </c>
      <c r="C65" s="4">
        <v>44993</v>
      </c>
      <c r="D65" s="4">
        <v>44959</v>
      </c>
      <c r="E65" s="4">
        <v>42988</v>
      </c>
      <c r="F65" s="4">
        <v>36537</v>
      </c>
      <c r="G65" s="4">
        <v>42034</v>
      </c>
      <c r="H65" s="4">
        <v>46715</v>
      </c>
      <c r="I65" s="39">
        <v>46937</v>
      </c>
      <c r="J65" s="4">
        <v>35.136000000000003</v>
      </c>
      <c r="K65" s="5"/>
      <c r="L65" s="5"/>
    </row>
    <row r="66" spans="1:12">
      <c r="A66" s="38" t="s">
        <v>242</v>
      </c>
      <c r="B66" s="4">
        <v>58</v>
      </c>
      <c r="C66" s="4">
        <v>52</v>
      </c>
      <c r="D66" s="4">
        <v>75</v>
      </c>
      <c r="E66" s="4">
        <v>61</v>
      </c>
      <c r="F66" s="4">
        <v>56</v>
      </c>
      <c r="G66" s="4">
        <v>62</v>
      </c>
      <c r="H66" s="4">
        <v>469</v>
      </c>
      <c r="I66" s="39">
        <v>23</v>
      </c>
      <c r="J66" s="4">
        <v>20.478000000000002</v>
      </c>
      <c r="K66" s="5"/>
      <c r="L66" s="5"/>
    </row>
    <row r="67" spans="1:12">
      <c r="A67" s="38" t="s">
        <v>268</v>
      </c>
      <c r="B67" s="4">
        <v>3</v>
      </c>
      <c r="C67" s="4">
        <v>0</v>
      </c>
      <c r="D67" s="4">
        <v>0</v>
      </c>
      <c r="E67" s="4">
        <v>51</v>
      </c>
      <c r="F67" s="4">
        <v>0</v>
      </c>
      <c r="G67" s="4">
        <v>1</v>
      </c>
      <c r="H67" s="4">
        <v>0</v>
      </c>
      <c r="I67" s="39">
        <v>0</v>
      </c>
      <c r="J67" s="4">
        <v>20</v>
      </c>
      <c r="K67" s="5"/>
      <c r="L67" s="5"/>
    </row>
    <row r="68" spans="1:12">
      <c r="A68" s="38" t="s">
        <v>133</v>
      </c>
      <c r="B68" s="4">
        <v>1</v>
      </c>
      <c r="C68" s="4">
        <v>1</v>
      </c>
      <c r="D68" s="4">
        <v>12</v>
      </c>
      <c r="E68" s="4">
        <v>68</v>
      </c>
      <c r="F68" s="4">
        <v>0</v>
      </c>
      <c r="G68" s="4">
        <v>0</v>
      </c>
      <c r="H68" s="4">
        <v>6</v>
      </c>
      <c r="I68" s="39">
        <v>11</v>
      </c>
      <c r="J68" s="4">
        <v>17.204000000000001</v>
      </c>
      <c r="K68" s="5"/>
      <c r="L68" s="5"/>
    </row>
    <row r="69" spans="1:12">
      <c r="A69" s="38" t="s">
        <v>264</v>
      </c>
      <c r="B69" s="4">
        <v>68</v>
      </c>
      <c r="C69" s="4">
        <v>7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39">
        <v>0</v>
      </c>
      <c r="J69" s="4">
        <v>11.858000000000001</v>
      </c>
      <c r="K69" s="5"/>
      <c r="L69" s="5"/>
    </row>
    <row r="70" spans="1:12">
      <c r="A70" s="38" t="s">
        <v>156</v>
      </c>
      <c r="B70" s="4">
        <v>64</v>
      </c>
      <c r="C70" s="4">
        <v>61</v>
      </c>
      <c r="D70" s="4"/>
      <c r="E70" s="4">
        <v>60</v>
      </c>
      <c r="F70" s="4">
        <v>28</v>
      </c>
      <c r="G70" s="4">
        <v>33</v>
      </c>
      <c r="H70" s="4">
        <v>37</v>
      </c>
      <c r="I70" s="39">
        <v>31</v>
      </c>
      <c r="J70" s="4">
        <v>11.65</v>
      </c>
      <c r="K70" s="5"/>
      <c r="L70" s="5"/>
    </row>
    <row r="71" spans="1:12">
      <c r="A71" s="38" t="s">
        <v>145</v>
      </c>
      <c r="B71" s="4">
        <v>22</v>
      </c>
      <c r="C71" s="4">
        <v>109</v>
      </c>
      <c r="D71" s="4">
        <v>394</v>
      </c>
      <c r="E71" s="4">
        <v>327</v>
      </c>
      <c r="F71" s="4">
        <v>11</v>
      </c>
      <c r="G71" s="4">
        <v>7</v>
      </c>
      <c r="H71" s="4">
        <v>10</v>
      </c>
      <c r="I71" s="39">
        <v>24</v>
      </c>
      <c r="J71" s="4">
        <v>10.631</v>
      </c>
      <c r="K71" s="5"/>
      <c r="L71" s="5"/>
    </row>
    <row r="72" spans="1:12">
      <c r="A72" s="38" t="s">
        <v>232</v>
      </c>
      <c r="B72" s="4">
        <v>3466</v>
      </c>
      <c r="C72" s="4">
        <v>179</v>
      </c>
      <c r="D72" s="4">
        <v>175</v>
      </c>
      <c r="E72" s="4">
        <v>54</v>
      </c>
      <c r="F72" s="4">
        <v>12</v>
      </c>
      <c r="G72" s="4">
        <v>11</v>
      </c>
      <c r="H72" s="4">
        <v>125</v>
      </c>
      <c r="I72" s="39">
        <v>16</v>
      </c>
      <c r="J72" s="4">
        <v>8.0879999999999992</v>
      </c>
      <c r="K72" s="5"/>
      <c r="L72" s="5"/>
    </row>
    <row r="73" spans="1:12">
      <c r="A73" s="38" t="s">
        <v>150</v>
      </c>
      <c r="B73" s="4">
        <v>0</v>
      </c>
      <c r="C73" s="4">
        <v>0</v>
      </c>
      <c r="D73" s="4">
        <v>0</v>
      </c>
      <c r="E73" s="4">
        <v>4</v>
      </c>
      <c r="F73" s="4">
        <v>2</v>
      </c>
      <c r="G73" s="4">
        <v>3</v>
      </c>
      <c r="H73" s="4">
        <v>3</v>
      </c>
      <c r="I73" s="39">
        <v>1</v>
      </c>
      <c r="J73" s="4">
        <v>7.02</v>
      </c>
      <c r="K73" s="5"/>
      <c r="L73" s="5"/>
    </row>
    <row r="74" spans="1:12">
      <c r="A74" s="38" t="s">
        <v>210</v>
      </c>
      <c r="B74" s="4">
        <v>13636</v>
      </c>
      <c r="C74" s="4">
        <v>12157</v>
      </c>
      <c r="D74" s="4">
        <v>11827</v>
      </c>
      <c r="E74" s="4">
        <v>8071</v>
      </c>
      <c r="F74" s="4">
        <v>8259</v>
      </c>
      <c r="G74" s="4">
        <v>7685</v>
      </c>
      <c r="H74" s="4">
        <v>9783</v>
      </c>
      <c r="I74" s="39">
        <v>8046</v>
      </c>
      <c r="J74" s="4">
        <v>6.66</v>
      </c>
      <c r="K74" s="5"/>
      <c r="L74" s="5"/>
    </row>
    <row r="75" spans="1:12">
      <c r="A75" s="38" t="s">
        <v>251</v>
      </c>
      <c r="B75" s="4">
        <v>100</v>
      </c>
      <c r="C75" s="4">
        <v>53</v>
      </c>
      <c r="D75" s="4">
        <v>82</v>
      </c>
      <c r="E75" s="4">
        <v>37</v>
      </c>
      <c r="F75" s="4">
        <v>6</v>
      </c>
      <c r="G75" s="4">
        <v>4</v>
      </c>
      <c r="H75" s="4">
        <v>36</v>
      </c>
      <c r="I75" s="39">
        <v>8</v>
      </c>
      <c r="J75" s="4">
        <v>5.3630000000000004</v>
      </c>
      <c r="K75" s="5"/>
      <c r="L75" s="5"/>
    </row>
    <row r="76" spans="1:12">
      <c r="A76" s="38" t="s">
        <v>260</v>
      </c>
      <c r="B76" s="4">
        <v>102</v>
      </c>
      <c r="C76" s="4">
        <v>1</v>
      </c>
      <c r="D76" s="4">
        <v>0</v>
      </c>
      <c r="E76" s="4">
        <v>7</v>
      </c>
      <c r="F76" s="4">
        <v>0</v>
      </c>
      <c r="G76" s="4">
        <v>0</v>
      </c>
      <c r="H76" s="4">
        <v>0</v>
      </c>
      <c r="I76" s="39">
        <v>0</v>
      </c>
      <c r="J76" s="4">
        <v>4.75</v>
      </c>
      <c r="K76" s="5"/>
      <c r="L76" s="5"/>
    </row>
    <row r="77" spans="1:12">
      <c r="A77" s="38" t="s">
        <v>105</v>
      </c>
      <c r="B77" s="4">
        <v>1644</v>
      </c>
      <c r="C77" s="4">
        <v>366</v>
      </c>
      <c r="D77" s="4">
        <v>2250</v>
      </c>
      <c r="E77" s="4">
        <v>1399</v>
      </c>
      <c r="F77" s="4">
        <v>458</v>
      </c>
      <c r="G77" s="4">
        <v>313</v>
      </c>
      <c r="H77" s="4">
        <v>294</v>
      </c>
      <c r="I77" s="39"/>
      <c r="J77" s="4">
        <v>4.2249999999999996</v>
      </c>
      <c r="K77" s="5"/>
      <c r="L77" s="5"/>
    </row>
    <row r="78" spans="1:12">
      <c r="A78" s="38" t="s">
        <v>245</v>
      </c>
      <c r="B78" s="4">
        <v>113</v>
      </c>
      <c r="C78" s="4">
        <v>330</v>
      </c>
      <c r="D78" s="4">
        <v>51</v>
      </c>
      <c r="E78" s="4">
        <v>66</v>
      </c>
      <c r="F78" s="4">
        <v>5</v>
      </c>
      <c r="G78" s="4">
        <v>7</v>
      </c>
      <c r="H78" s="4">
        <v>33</v>
      </c>
      <c r="I78" s="39">
        <v>4</v>
      </c>
      <c r="J78" s="4">
        <v>2.9550000000000001</v>
      </c>
      <c r="K78" s="5"/>
      <c r="L78" s="5"/>
    </row>
    <row r="79" spans="1:12">
      <c r="A79" s="38" t="s">
        <v>135</v>
      </c>
      <c r="B79" s="4">
        <v>9</v>
      </c>
      <c r="C79" s="4">
        <v>16</v>
      </c>
      <c r="D79" s="4">
        <v>9</v>
      </c>
      <c r="E79" s="4">
        <v>1</v>
      </c>
      <c r="F79" s="4">
        <v>3</v>
      </c>
      <c r="G79" s="4">
        <v>14</v>
      </c>
      <c r="H79" s="4">
        <v>13</v>
      </c>
      <c r="I79" s="39">
        <v>9</v>
      </c>
      <c r="J79" s="4">
        <v>2.4340000000000002</v>
      </c>
      <c r="K79" s="5"/>
      <c r="L79" s="5"/>
    </row>
    <row r="80" spans="1:12">
      <c r="A80" s="38" t="s">
        <v>250</v>
      </c>
      <c r="B80" s="4">
        <v>82</v>
      </c>
      <c r="C80" s="4">
        <v>73</v>
      </c>
      <c r="D80" s="4">
        <v>65</v>
      </c>
      <c r="E80" s="4">
        <v>56</v>
      </c>
      <c r="F80" s="4">
        <v>15</v>
      </c>
      <c r="G80" s="4">
        <v>59</v>
      </c>
      <c r="H80" s="4">
        <v>72</v>
      </c>
      <c r="I80" s="39">
        <v>10</v>
      </c>
      <c r="J80" s="4">
        <v>1.83</v>
      </c>
      <c r="K80" s="5"/>
      <c r="L80" s="5"/>
    </row>
    <row r="81" spans="1:12">
      <c r="A81" s="38" t="s">
        <v>243</v>
      </c>
      <c r="B81" s="4">
        <v>491</v>
      </c>
      <c r="C81" s="4">
        <v>26</v>
      </c>
      <c r="D81" s="4">
        <v>31</v>
      </c>
      <c r="E81" s="4">
        <v>139</v>
      </c>
      <c r="F81" s="4">
        <v>110</v>
      </c>
      <c r="G81" s="4">
        <v>30</v>
      </c>
      <c r="H81" s="4">
        <v>6</v>
      </c>
      <c r="I81" s="39">
        <v>0</v>
      </c>
      <c r="J81" s="4">
        <v>0.5</v>
      </c>
      <c r="K81" s="5"/>
      <c r="L81" s="5"/>
    </row>
    <row r="82" spans="1:12">
      <c r="A82" s="38" t="s">
        <v>257</v>
      </c>
      <c r="B82" s="4">
        <v>0</v>
      </c>
      <c r="C82" s="4">
        <v>0</v>
      </c>
      <c r="D82" s="4">
        <v>10</v>
      </c>
      <c r="E82" s="4">
        <v>3</v>
      </c>
      <c r="F82" s="4">
        <v>131</v>
      </c>
      <c r="G82" s="4">
        <v>0</v>
      </c>
      <c r="H82" s="4">
        <v>0</v>
      </c>
      <c r="I82" s="39">
        <v>0</v>
      </c>
      <c r="J82" s="4">
        <v>0.20200000000000001</v>
      </c>
      <c r="K82" s="5"/>
      <c r="L82" s="5"/>
    </row>
    <row r="83" spans="1:12">
      <c r="A83" s="38" t="s">
        <v>180</v>
      </c>
      <c r="B83" s="4">
        <v>1</v>
      </c>
      <c r="C83" s="4">
        <v>0</v>
      </c>
      <c r="D83" s="4">
        <v>0</v>
      </c>
      <c r="E83" s="4">
        <v>0</v>
      </c>
      <c r="F83" s="4">
        <v>26</v>
      </c>
      <c r="G83" s="4">
        <v>0</v>
      </c>
      <c r="H83" s="4">
        <v>0</v>
      </c>
      <c r="I83" s="39">
        <v>0</v>
      </c>
      <c r="J83" s="4">
        <v>0.189</v>
      </c>
      <c r="K83" s="5"/>
      <c r="L83" s="5"/>
    </row>
    <row r="84" spans="1:12">
      <c r="A84" s="38" t="s">
        <v>274</v>
      </c>
      <c r="B84" s="4">
        <v>0</v>
      </c>
      <c r="C84" s="4">
        <v>25</v>
      </c>
      <c r="D84" s="4">
        <v>0</v>
      </c>
      <c r="E84" s="4">
        <v>3</v>
      </c>
      <c r="F84" s="4">
        <v>0</v>
      </c>
      <c r="G84" s="4">
        <v>1</v>
      </c>
      <c r="H84" s="4">
        <v>0</v>
      </c>
      <c r="I84" s="39">
        <v>0</v>
      </c>
      <c r="J84" s="4">
        <v>7.0000000000000007E-2</v>
      </c>
      <c r="K84" s="5"/>
      <c r="L84" s="5"/>
    </row>
    <row r="85" spans="1:12">
      <c r="A85" s="38" t="s">
        <v>301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/>
      <c r="H85" s="4"/>
      <c r="I85" s="39">
        <v>0</v>
      </c>
      <c r="J85" s="4"/>
      <c r="K85" s="5"/>
      <c r="L85" s="5"/>
    </row>
    <row r="86" spans="1:12">
      <c r="A86" s="38" t="s">
        <v>140</v>
      </c>
      <c r="B86" s="4">
        <v>3</v>
      </c>
      <c r="C86" s="4">
        <v>2</v>
      </c>
      <c r="D86" s="4">
        <v>2</v>
      </c>
      <c r="E86" s="4">
        <v>3</v>
      </c>
      <c r="F86" s="4">
        <v>2</v>
      </c>
      <c r="G86" s="4">
        <v>1</v>
      </c>
      <c r="H86" s="4">
        <v>0</v>
      </c>
      <c r="I86" s="39">
        <v>108</v>
      </c>
      <c r="J86" s="4"/>
      <c r="K86" s="5"/>
      <c r="L86" s="5"/>
    </row>
    <row r="87" spans="1:12">
      <c r="A87" s="38" t="s">
        <v>126</v>
      </c>
      <c r="B87" s="4">
        <v>0</v>
      </c>
      <c r="C87" s="4">
        <v>0</v>
      </c>
      <c r="D87" s="4">
        <v>120</v>
      </c>
      <c r="E87" s="4">
        <v>56</v>
      </c>
      <c r="F87" s="4">
        <v>0</v>
      </c>
      <c r="G87" s="4">
        <v>45</v>
      </c>
      <c r="H87" s="4">
        <v>0</v>
      </c>
      <c r="I87" s="39">
        <v>0</v>
      </c>
      <c r="J87" s="4"/>
      <c r="K87" s="5"/>
      <c r="L87" s="5"/>
    </row>
    <row r="88" spans="1:12">
      <c r="A88" s="38" t="s">
        <v>294</v>
      </c>
      <c r="B88" s="4"/>
      <c r="C88" s="4"/>
      <c r="D88" s="4"/>
      <c r="E88" s="4"/>
      <c r="F88" s="4"/>
      <c r="G88" s="4">
        <v>1</v>
      </c>
      <c r="H88" s="4"/>
      <c r="I88" s="39"/>
      <c r="J88" s="4"/>
      <c r="K88" s="5"/>
      <c r="L88" s="5"/>
    </row>
    <row r="89" spans="1:12">
      <c r="A89" s="38" t="s">
        <v>127</v>
      </c>
      <c r="B89" s="4">
        <v>375</v>
      </c>
      <c r="C89" s="4">
        <v>0</v>
      </c>
      <c r="D89" s="4">
        <v>0</v>
      </c>
      <c r="E89" s="4">
        <v>0</v>
      </c>
      <c r="F89" s="4">
        <v>10</v>
      </c>
      <c r="G89" s="4">
        <v>0</v>
      </c>
      <c r="H89" s="4">
        <v>0</v>
      </c>
      <c r="I89" s="39">
        <v>0</v>
      </c>
      <c r="J89" s="4"/>
      <c r="K89" s="5"/>
      <c r="L89" s="5"/>
    </row>
    <row r="90" spans="1:12">
      <c r="A90" s="38" t="s">
        <v>286</v>
      </c>
      <c r="B90" s="4"/>
      <c r="C90" s="4"/>
      <c r="D90" s="4">
        <v>3</v>
      </c>
      <c r="E90" s="4"/>
      <c r="F90" s="4"/>
      <c r="G90" s="4"/>
      <c r="H90" s="4"/>
      <c r="I90" s="39">
        <v>0</v>
      </c>
      <c r="J90" s="4"/>
      <c r="K90" s="5"/>
      <c r="L90" s="5"/>
    </row>
    <row r="91" spans="1:12">
      <c r="A91" s="38" t="s">
        <v>152</v>
      </c>
      <c r="B91" s="4">
        <v>28</v>
      </c>
      <c r="C91" s="4"/>
      <c r="D91" s="4"/>
      <c r="E91" s="4">
        <v>136</v>
      </c>
      <c r="F91" s="4"/>
      <c r="G91" s="4"/>
      <c r="H91" s="4"/>
      <c r="I91" s="39"/>
      <c r="J91" s="4"/>
      <c r="K91" s="5"/>
      <c r="L91" s="5"/>
    </row>
    <row r="92" spans="1:12">
      <c r="A92" s="38" t="s">
        <v>176</v>
      </c>
      <c r="B92" s="4">
        <v>5</v>
      </c>
      <c r="C92" s="4">
        <v>2</v>
      </c>
      <c r="D92" s="4">
        <v>0</v>
      </c>
      <c r="E92" s="4">
        <v>0</v>
      </c>
      <c r="F92" s="4">
        <v>92</v>
      </c>
      <c r="G92" s="4">
        <v>0</v>
      </c>
      <c r="H92" s="4">
        <v>0</v>
      </c>
      <c r="I92" s="39">
        <v>63</v>
      </c>
      <c r="J92" s="4"/>
      <c r="K92" s="5"/>
      <c r="L92" s="5"/>
    </row>
    <row r="93" spans="1:12">
      <c r="A93" s="38" t="s">
        <v>229</v>
      </c>
      <c r="B93" s="4">
        <v>224</v>
      </c>
      <c r="C93" s="4">
        <v>363</v>
      </c>
      <c r="D93" s="4">
        <v>1204</v>
      </c>
      <c r="E93" s="4">
        <v>1268</v>
      </c>
      <c r="F93" s="4">
        <v>517</v>
      </c>
      <c r="G93" s="4">
        <v>1238</v>
      </c>
      <c r="H93" s="4">
        <v>369</v>
      </c>
      <c r="I93" s="39"/>
      <c r="J93" s="4"/>
      <c r="K93" s="5"/>
      <c r="L93" s="5"/>
    </row>
    <row r="94" spans="1:12">
      <c r="A94" s="38" t="s">
        <v>198</v>
      </c>
      <c r="B94" s="4">
        <v>51434</v>
      </c>
      <c r="C94" s="4">
        <v>43279</v>
      </c>
      <c r="D94" s="4">
        <v>45002</v>
      </c>
      <c r="E94" s="4">
        <v>56568</v>
      </c>
      <c r="F94" s="4">
        <v>63839</v>
      </c>
      <c r="G94" s="4">
        <v>80772</v>
      </c>
      <c r="H94" s="4">
        <v>47518</v>
      </c>
      <c r="I94" s="39">
        <v>35474</v>
      </c>
      <c r="J94" s="4"/>
      <c r="K94" s="5"/>
      <c r="L94" s="5"/>
    </row>
    <row r="95" spans="1:12">
      <c r="A95" s="38" t="s">
        <v>277</v>
      </c>
      <c r="B95" s="4">
        <v>0</v>
      </c>
      <c r="C95" s="4">
        <v>0</v>
      </c>
      <c r="D95" s="4">
        <v>19</v>
      </c>
      <c r="E95" s="4">
        <v>0</v>
      </c>
      <c r="F95" s="4">
        <v>0</v>
      </c>
      <c r="G95" s="4">
        <v>0</v>
      </c>
      <c r="H95" s="4">
        <v>0</v>
      </c>
      <c r="I95" s="39">
        <v>0</v>
      </c>
      <c r="J95" s="4"/>
      <c r="K95" s="5"/>
      <c r="L95" s="5"/>
    </row>
    <row r="96" spans="1:12">
      <c r="A96" s="38" t="s">
        <v>160</v>
      </c>
      <c r="B96" s="4">
        <v>0</v>
      </c>
      <c r="C96" s="4">
        <v>1</v>
      </c>
      <c r="D96" s="4">
        <v>22</v>
      </c>
      <c r="E96" s="4">
        <v>2</v>
      </c>
      <c r="F96" s="4">
        <v>8</v>
      </c>
      <c r="G96" s="4">
        <v>0</v>
      </c>
      <c r="H96" s="4">
        <v>3</v>
      </c>
      <c r="I96" s="39">
        <v>1</v>
      </c>
      <c r="J96" s="4"/>
      <c r="K96" s="5"/>
      <c r="L96" s="5"/>
    </row>
    <row r="97" spans="1:12">
      <c r="A97" s="38" t="s">
        <v>298</v>
      </c>
      <c r="B97" s="4"/>
      <c r="C97" s="4"/>
      <c r="D97" s="4"/>
      <c r="E97" s="4"/>
      <c r="F97" s="4">
        <v>0</v>
      </c>
      <c r="G97" s="4">
        <v>0</v>
      </c>
      <c r="H97" s="4"/>
      <c r="I97" s="39">
        <v>0</v>
      </c>
      <c r="J97" s="4"/>
      <c r="K97" s="5"/>
      <c r="L97" s="5"/>
    </row>
    <row r="98" spans="1:12">
      <c r="A98" s="38" t="s">
        <v>214</v>
      </c>
      <c r="B98" s="4"/>
      <c r="C98" s="4"/>
      <c r="D98" s="4"/>
      <c r="E98" s="4"/>
      <c r="F98" s="4"/>
      <c r="G98" s="4">
        <v>9053</v>
      </c>
      <c r="H98" s="4">
        <v>48114</v>
      </c>
      <c r="I98" s="39">
        <v>1093</v>
      </c>
      <c r="J98" s="4"/>
      <c r="K98" s="5"/>
      <c r="L98" s="5"/>
    </row>
    <row r="99" spans="1:12">
      <c r="A99" s="38" t="s">
        <v>303</v>
      </c>
      <c r="B99" s="4">
        <v>0</v>
      </c>
      <c r="C99" s="4">
        <v>0</v>
      </c>
      <c r="D99" s="4">
        <v>0</v>
      </c>
      <c r="E99" s="4"/>
      <c r="F99" s="4"/>
      <c r="G99" s="4"/>
      <c r="H99" s="4">
        <v>0</v>
      </c>
      <c r="I99" s="39"/>
      <c r="J99" s="4"/>
      <c r="K99" s="5"/>
      <c r="L99" s="5"/>
    </row>
    <row r="100" spans="1:12">
      <c r="A100" s="38" t="s">
        <v>259</v>
      </c>
      <c r="B100" s="4">
        <v>28</v>
      </c>
      <c r="C100" s="4"/>
      <c r="D100" s="4"/>
      <c r="E100" s="4"/>
      <c r="F100" s="4"/>
      <c r="G100" s="4">
        <v>1</v>
      </c>
      <c r="H100" s="4"/>
      <c r="I100" s="39">
        <v>83</v>
      </c>
      <c r="J100" s="4"/>
      <c r="K100" s="5"/>
      <c r="L100" s="5"/>
    </row>
    <row r="101" spans="1:12">
      <c r="A101" s="38" t="s">
        <v>296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39">
        <v>0</v>
      </c>
      <c r="J101" s="4"/>
      <c r="K101" s="5"/>
      <c r="L101" s="5"/>
    </row>
    <row r="102" spans="1:12">
      <c r="A102" s="38" t="s">
        <v>300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39">
        <v>0</v>
      </c>
      <c r="J102" s="4"/>
      <c r="K102" s="5"/>
      <c r="L102" s="5"/>
    </row>
    <row r="103" spans="1:12">
      <c r="A103" s="38" t="s">
        <v>275</v>
      </c>
      <c r="B103" s="4"/>
      <c r="C103" s="4"/>
      <c r="D103" s="4"/>
      <c r="E103" s="4">
        <v>27</v>
      </c>
      <c r="F103" s="4">
        <v>1</v>
      </c>
      <c r="G103" s="4"/>
      <c r="H103" s="4"/>
      <c r="I103" s="39"/>
      <c r="J103" s="4"/>
      <c r="K103" s="5"/>
      <c r="L103" s="5"/>
    </row>
    <row r="104" spans="1:12">
      <c r="A104" s="38" t="s">
        <v>238</v>
      </c>
      <c r="B104" s="4">
        <v>9</v>
      </c>
      <c r="C104" s="4">
        <v>5</v>
      </c>
      <c r="D104" s="4">
        <v>0</v>
      </c>
      <c r="E104" s="4">
        <v>62</v>
      </c>
      <c r="F104" s="4">
        <v>326</v>
      </c>
      <c r="G104" s="4">
        <v>650</v>
      </c>
      <c r="H104" s="4">
        <v>207</v>
      </c>
      <c r="I104" s="39">
        <v>1</v>
      </c>
      <c r="J104" s="4"/>
      <c r="K104" s="5"/>
      <c r="L104" s="5"/>
    </row>
    <row r="105" spans="1:12">
      <c r="A105" s="38" t="s">
        <v>270</v>
      </c>
      <c r="B105" s="4">
        <v>0</v>
      </c>
      <c r="C105" s="4">
        <v>0</v>
      </c>
      <c r="D105" s="4">
        <v>0</v>
      </c>
      <c r="E105" s="4">
        <v>24</v>
      </c>
      <c r="F105" s="4">
        <v>0</v>
      </c>
      <c r="G105" s="4">
        <v>20</v>
      </c>
      <c r="H105" s="4">
        <v>0</v>
      </c>
      <c r="I105" s="39">
        <v>0</v>
      </c>
      <c r="J105" s="4"/>
      <c r="K105" s="5"/>
      <c r="L105" s="5"/>
    </row>
    <row r="106" spans="1:12">
      <c r="A106" s="38" t="s">
        <v>255</v>
      </c>
      <c r="B106" s="4">
        <v>0</v>
      </c>
      <c r="C106" s="4">
        <v>0</v>
      </c>
      <c r="D106" s="4">
        <v>0</v>
      </c>
      <c r="E106" s="4">
        <v>0</v>
      </c>
      <c r="F106" s="4">
        <v>84</v>
      </c>
      <c r="G106" s="4">
        <v>0</v>
      </c>
      <c r="H106" s="4">
        <v>84</v>
      </c>
      <c r="I106" s="39">
        <v>0</v>
      </c>
      <c r="J106" s="4"/>
      <c r="K106" s="5"/>
      <c r="L106" s="5"/>
    </row>
    <row r="107" spans="1:12">
      <c r="A107" s="38" t="s">
        <v>143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39">
        <v>0</v>
      </c>
      <c r="J107" s="4"/>
      <c r="K107" s="5"/>
      <c r="L107" s="5"/>
    </row>
    <row r="108" spans="1:12">
      <c r="A108" s="38" t="s">
        <v>306</v>
      </c>
      <c r="B108" s="4">
        <v>0</v>
      </c>
      <c r="C108" s="4">
        <v>0</v>
      </c>
      <c r="D108" s="4">
        <v>0</v>
      </c>
      <c r="E108" s="4"/>
      <c r="F108" s="4">
        <v>0</v>
      </c>
      <c r="G108" s="4">
        <v>0</v>
      </c>
      <c r="H108" s="4"/>
      <c r="I108" s="39"/>
      <c r="J108" s="4"/>
      <c r="K108" s="5"/>
      <c r="L108" s="5"/>
    </row>
    <row r="109" spans="1:12">
      <c r="A109" s="38" t="s">
        <v>253</v>
      </c>
      <c r="B109" s="4"/>
      <c r="C109" s="4">
        <v>5</v>
      </c>
      <c r="D109" s="4">
        <v>77</v>
      </c>
      <c r="E109" s="4">
        <v>16</v>
      </c>
      <c r="F109" s="4">
        <v>36</v>
      </c>
      <c r="G109" s="4"/>
      <c r="H109" s="4">
        <v>34</v>
      </c>
      <c r="I109" s="39">
        <v>33</v>
      </c>
      <c r="J109" s="4"/>
      <c r="K109" s="5"/>
      <c r="L109" s="5"/>
    </row>
    <row r="110" spans="1:12">
      <c r="A110" s="38" t="s">
        <v>83</v>
      </c>
      <c r="B110" s="4">
        <v>7003</v>
      </c>
      <c r="C110" s="4">
        <v>7246</v>
      </c>
      <c r="D110" s="4">
        <v>9202</v>
      </c>
      <c r="E110" s="4">
        <v>18881</v>
      </c>
      <c r="F110" s="4">
        <v>23806</v>
      </c>
      <c r="G110" s="4">
        <v>17361</v>
      </c>
      <c r="H110" s="4">
        <v>24157</v>
      </c>
      <c r="I110" s="39">
        <v>22214</v>
      </c>
      <c r="J110" s="4">
        <v>0</v>
      </c>
      <c r="K110" s="5"/>
      <c r="L110" s="5"/>
    </row>
    <row r="111" spans="1:12">
      <c r="A111" s="38" t="s">
        <v>293</v>
      </c>
      <c r="B111" s="4">
        <v>1</v>
      </c>
      <c r="C111" s="4">
        <v>0</v>
      </c>
      <c r="D111" s="4"/>
      <c r="E111" s="4"/>
      <c r="F111" s="4"/>
      <c r="G111" s="4"/>
      <c r="H111" s="4">
        <v>0</v>
      </c>
      <c r="I111" s="39"/>
      <c r="J111" s="4"/>
      <c r="K111" s="5"/>
      <c r="L111" s="5"/>
    </row>
    <row r="112" spans="1:12">
      <c r="A112" s="38" t="s">
        <v>228</v>
      </c>
      <c r="B112" s="4">
        <v>160</v>
      </c>
      <c r="C112" s="4">
        <v>766</v>
      </c>
      <c r="D112" s="4">
        <v>355</v>
      </c>
      <c r="E112" s="4">
        <v>1614</v>
      </c>
      <c r="F112" s="4">
        <v>2129</v>
      </c>
      <c r="G112" s="4">
        <v>566</v>
      </c>
      <c r="H112" s="4"/>
      <c r="I112" s="39"/>
      <c r="J112" s="4"/>
      <c r="K112" s="5"/>
      <c r="L112" s="5"/>
    </row>
    <row r="113" spans="1:12">
      <c r="A113" s="38" t="s">
        <v>269</v>
      </c>
      <c r="B113" s="4"/>
      <c r="C113" s="4">
        <v>23</v>
      </c>
      <c r="D113" s="4"/>
      <c r="E113" s="4"/>
      <c r="F113" s="4">
        <v>12</v>
      </c>
      <c r="G113" s="4">
        <v>3</v>
      </c>
      <c r="H113" s="4">
        <v>8</v>
      </c>
      <c r="I113" s="39"/>
      <c r="J113" s="4"/>
      <c r="K113" s="5"/>
      <c r="L113" s="5"/>
    </row>
    <row r="114" spans="1:12">
      <c r="A114" s="38" t="s">
        <v>287</v>
      </c>
      <c r="B114" s="4">
        <v>2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39">
        <v>0</v>
      </c>
      <c r="J114" s="4"/>
      <c r="K114" s="5"/>
      <c r="L114" s="5"/>
    </row>
    <row r="115" spans="1:12">
      <c r="A115" s="38" t="s">
        <v>231</v>
      </c>
      <c r="B115" s="4">
        <v>830</v>
      </c>
      <c r="C115" s="4">
        <v>1442</v>
      </c>
      <c r="D115" s="4">
        <v>1754</v>
      </c>
      <c r="E115" s="4">
        <v>766</v>
      </c>
      <c r="F115" s="4">
        <v>134</v>
      </c>
      <c r="G115" s="4">
        <v>30</v>
      </c>
      <c r="H115" s="4">
        <v>19</v>
      </c>
      <c r="I115" s="39">
        <v>13</v>
      </c>
      <c r="J115" s="4"/>
      <c r="K115" s="5"/>
      <c r="L115" s="5"/>
    </row>
    <row r="116" spans="1:12">
      <c r="A116" s="38" t="s">
        <v>124</v>
      </c>
      <c r="B116" s="4">
        <v>0</v>
      </c>
      <c r="C116" s="4">
        <v>0</v>
      </c>
      <c r="D116" s="4">
        <v>54</v>
      </c>
      <c r="E116" s="4">
        <v>104</v>
      </c>
      <c r="F116" s="4">
        <v>28</v>
      </c>
      <c r="G116" s="4">
        <v>2</v>
      </c>
      <c r="H116" s="4">
        <v>20</v>
      </c>
      <c r="I116" s="39">
        <v>11</v>
      </c>
      <c r="J116" s="4"/>
      <c r="K116" s="5"/>
      <c r="L116" s="5"/>
    </row>
    <row r="117" spans="1:12">
      <c r="A117" s="38" t="s">
        <v>121</v>
      </c>
      <c r="B117" s="4">
        <v>13</v>
      </c>
      <c r="C117" s="4">
        <v>1</v>
      </c>
      <c r="D117" s="4">
        <v>16</v>
      </c>
      <c r="E117" s="4"/>
      <c r="F117" s="4">
        <v>24</v>
      </c>
      <c r="G117" s="4">
        <v>36</v>
      </c>
      <c r="H117" s="4">
        <v>23</v>
      </c>
      <c r="I117" s="39"/>
      <c r="J117" s="4"/>
      <c r="K117" s="5"/>
      <c r="L117" s="5"/>
    </row>
    <row r="118" spans="1:12">
      <c r="A118" s="38" t="s">
        <v>247</v>
      </c>
      <c r="B118" s="4">
        <v>238</v>
      </c>
      <c r="C118" s="4">
        <v>20</v>
      </c>
      <c r="D118" s="4">
        <v>70</v>
      </c>
      <c r="E118" s="4">
        <v>17</v>
      </c>
      <c r="F118" s="4">
        <v>88</v>
      </c>
      <c r="G118" s="4">
        <v>62</v>
      </c>
      <c r="H118" s="4">
        <v>17</v>
      </c>
      <c r="I118" s="39"/>
      <c r="J118" s="4"/>
      <c r="K118" s="5"/>
      <c r="L118" s="5"/>
    </row>
    <row r="119" spans="1:12">
      <c r="A119" s="38" t="s">
        <v>256</v>
      </c>
      <c r="B119" s="4">
        <v>0</v>
      </c>
      <c r="C119" s="4">
        <v>0</v>
      </c>
      <c r="D119" s="4">
        <v>26</v>
      </c>
      <c r="E119" s="4">
        <v>28</v>
      </c>
      <c r="F119" s="4">
        <v>62</v>
      </c>
      <c r="G119" s="4">
        <v>31</v>
      </c>
      <c r="H119" s="4">
        <v>0</v>
      </c>
      <c r="I119" s="39">
        <v>0</v>
      </c>
      <c r="J119" s="4"/>
      <c r="K119" s="5"/>
      <c r="L119" s="5"/>
    </row>
    <row r="120" spans="1:12">
      <c r="A120" s="38" t="s">
        <v>278</v>
      </c>
      <c r="B120" s="4"/>
      <c r="C120" s="4"/>
      <c r="D120" s="4"/>
      <c r="E120" s="4">
        <v>18</v>
      </c>
      <c r="F120" s="4"/>
      <c r="G120" s="4"/>
      <c r="H120" s="4"/>
      <c r="I120" s="39"/>
      <c r="J120" s="4"/>
      <c r="K120" s="5"/>
      <c r="L120" s="5"/>
    </row>
    <row r="121" spans="1:12">
      <c r="A121" s="38" t="s">
        <v>151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39">
        <v>0</v>
      </c>
      <c r="J121" s="4"/>
      <c r="K121" s="5"/>
      <c r="L121" s="5"/>
    </row>
    <row r="122" spans="1:12">
      <c r="A122" s="38" t="s">
        <v>204</v>
      </c>
      <c r="B122" s="4">
        <v>1798</v>
      </c>
      <c r="C122" s="4">
        <v>4309</v>
      </c>
      <c r="D122" s="4">
        <v>29357</v>
      </c>
      <c r="E122" s="4">
        <v>123977</v>
      </c>
      <c r="F122" s="4">
        <v>0</v>
      </c>
      <c r="G122" s="4">
        <v>27474</v>
      </c>
      <c r="H122" s="4">
        <v>0</v>
      </c>
      <c r="I122" s="39">
        <v>0</v>
      </c>
      <c r="J122" s="4"/>
      <c r="K122" s="5"/>
      <c r="L122" s="5"/>
    </row>
    <row r="123" spans="1:12">
      <c r="A123" s="38" t="s">
        <v>115</v>
      </c>
      <c r="B123" s="4">
        <v>58</v>
      </c>
      <c r="C123" s="4">
        <v>39</v>
      </c>
      <c r="D123" s="4">
        <v>52</v>
      </c>
      <c r="E123" s="4">
        <v>50</v>
      </c>
      <c r="F123" s="4">
        <v>66</v>
      </c>
      <c r="G123" s="4">
        <v>61</v>
      </c>
      <c r="H123" s="4">
        <v>42</v>
      </c>
      <c r="I123" s="39">
        <v>23</v>
      </c>
      <c r="J123" s="4"/>
      <c r="K123" s="5"/>
      <c r="L123" s="5"/>
    </row>
    <row r="124" spans="1:12">
      <c r="A124" s="38" t="s">
        <v>172</v>
      </c>
      <c r="B124" s="4">
        <v>0</v>
      </c>
      <c r="C124" s="4">
        <v>4</v>
      </c>
      <c r="D124" s="4">
        <v>3</v>
      </c>
      <c r="E124" s="4">
        <v>0</v>
      </c>
      <c r="F124" s="4">
        <v>0</v>
      </c>
      <c r="G124" s="4">
        <v>2</v>
      </c>
      <c r="H124" s="4">
        <v>0</v>
      </c>
      <c r="I124" s="39">
        <v>0</v>
      </c>
      <c r="J124" s="4"/>
      <c r="K124" s="5"/>
      <c r="L124" s="5"/>
    </row>
    <row r="125" spans="1:12">
      <c r="A125" s="38" t="s">
        <v>297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39">
        <v>0</v>
      </c>
      <c r="J125" s="4"/>
      <c r="K125" s="5"/>
      <c r="L125" s="5"/>
    </row>
    <row r="126" spans="1:12">
      <c r="A126" s="38" t="s">
        <v>262</v>
      </c>
      <c r="B126" s="4">
        <v>11</v>
      </c>
      <c r="C126" s="4">
        <v>15</v>
      </c>
      <c r="D126" s="4">
        <v>0</v>
      </c>
      <c r="E126" s="4">
        <v>11</v>
      </c>
      <c r="F126" s="4">
        <v>0</v>
      </c>
      <c r="G126" s="4">
        <v>0</v>
      </c>
      <c r="H126" s="4">
        <v>14</v>
      </c>
      <c r="I126" s="39">
        <v>36</v>
      </c>
      <c r="J126" s="4"/>
      <c r="K126" s="5"/>
      <c r="L126" s="5"/>
    </row>
    <row r="127" spans="1:12">
      <c r="A127" s="38" t="s">
        <v>284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6</v>
      </c>
      <c r="I127" s="39">
        <v>0</v>
      </c>
      <c r="J127" s="4"/>
      <c r="K127" s="5"/>
      <c r="L127" s="5"/>
    </row>
    <row r="128" spans="1:12">
      <c r="A128" s="38" t="s">
        <v>173</v>
      </c>
      <c r="B128" s="4"/>
      <c r="C128" s="4"/>
      <c r="D128" s="4"/>
      <c r="E128" s="4"/>
      <c r="F128" s="4"/>
      <c r="G128" s="4"/>
      <c r="H128" s="4">
        <v>15</v>
      </c>
      <c r="I128" s="39"/>
      <c r="J128" s="4"/>
      <c r="K128" s="5"/>
      <c r="L128" s="5"/>
    </row>
    <row r="129" spans="1:12">
      <c r="A129" s="38" t="s">
        <v>249</v>
      </c>
      <c r="B129" s="4">
        <v>0</v>
      </c>
      <c r="C129" s="4">
        <v>0</v>
      </c>
      <c r="D129" s="4">
        <v>166</v>
      </c>
      <c r="E129" s="4">
        <v>269</v>
      </c>
      <c r="F129" s="4">
        <v>2</v>
      </c>
      <c r="G129" s="4">
        <v>0</v>
      </c>
      <c r="H129" s="4">
        <v>0</v>
      </c>
      <c r="I129" s="39"/>
      <c r="J129" s="4"/>
      <c r="K129" s="5"/>
      <c r="L129" s="5"/>
    </row>
    <row r="130" spans="1:12">
      <c r="A130" s="38" t="s">
        <v>138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39">
        <v>98</v>
      </c>
      <c r="J130" s="4"/>
      <c r="K130" s="5"/>
      <c r="L130" s="5"/>
    </row>
    <row r="131" spans="1:12">
      <c r="A131" s="38" t="s">
        <v>217</v>
      </c>
      <c r="B131" s="4">
        <v>2537</v>
      </c>
      <c r="C131" s="4">
        <v>3609</v>
      </c>
      <c r="D131" s="4">
        <v>4720</v>
      </c>
      <c r="E131" s="4">
        <v>6001</v>
      </c>
      <c r="F131" s="4">
        <v>4124</v>
      </c>
      <c r="G131" s="4">
        <v>1455</v>
      </c>
      <c r="H131" s="4">
        <v>2374</v>
      </c>
      <c r="I131" s="39">
        <v>47</v>
      </c>
      <c r="J131" s="4">
        <v>0</v>
      </c>
      <c r="K131" s="5"/>
      <c r="L131" s="5"/>
    </row>
    <row r="132" spans="1:12">
      <c r="A132" s="38" t="s">
        <v>279</v>
      </c>
      <c r="B132" s="4">
        <v>0</v>
      </c>
      <c r="C132" s="4">
        <v>0</v>
      </c>
      <c r="D132" s="4">
        <v>0</v>
      </c>
      <c r="E132" s="4">
        <v>14</v>
      </c>
      <c r="F132" s="4">
        <v>0</v>
      </c>
      <c r="G132" s="4">
        <v>0</v>
      </c>
      <c r="H132" s="4">
        <v>0</v>
      </c>
      <c r="I132" s="39">
        <v>0</v>
      </c>
      <c r="J132" s="4"/>
      <c r="K132" s="5"/>
      <c r="L132" s="5"/>
    </row>
    <row r="133" spans="1:12">
      <c r="A133" s="38" t="s">
        <v>267</v>
      </c>
      <c r="B133" s="4"/>
      <c r="C133" s="4"/>
      <c r="D133" s="4"/>
      <c r="E133" s="4"/>
      <c r="F133" s="4"/>
      <c r="G133" s="4"/>
      <c r="H133" s="4">
        <v>58</v>
      </c>
      <c r="I133" s="39"/>
      <c r="J133" s="4"/>
      <c r="K133" s="5"/>
      <c r="L133" s="5"/>
    </row>
    <row r="134" spans="1:12">
      <c r="A134" s="38" t="s">
        <v>272</v>
      </c>
      <c r="B134" s="4">
        <v>0</v>
      </c>
      <c r="C134" s="4">
        <v>7</v>
      </c>
      <c r="D134" s="4">
        <v>0</v>
      </c>
      <c r="E134" s="4">
        <v>0</v>
      </c>
      <c r="F134" s="4">
        <v>32</v>
      </c>
      <c r="G134" s="4">
        <v>0</v>
      </c>
      <c r="H134" s="4">
        <v>0</v>
      </c>
      <c r="I134" s="39"/>
      <c r="J134" s="4"/>
      <c r="K134" s="5"/>
      <c r="L134" s="5"/>
    </row>
    <row r="135" spans="1:12">
      <c r="A135" s="38" t="s">
        <v>254</v>
      </c>
      <c r="B135" s="4">
        <v>0</v>
      </c>
      <c r="C135" s="4">
        <v>0</v>
      </c>
      <c r="D135" s="4">
        <v>0</v>
      </c>
      <c r="E135" s="4">
        <v>28</v>
      </c>
      <c r="F135" s="4">
        <v>55</v>
      </c>
      <c r="G135" s="4"/>
      <c r="H135" s="4">
        <v>112</v>
      </c>
      <c r="I135" s="39"/>
      <c r="J135" s="4"/>
      <c r="K135" s="5"/>
      <c r="L135" s="5"/>
    </row>
    <row r="136" spans="1:12">
      <c r="A136" s="38" t="s">
        <v>153</v>
      </c>
      <c r="B136" s="4">
        <v>23</v>
      </c>
      <c r="C136" s="4">
        <v>13</v>
      </c>
      <c r="D136" s="4">
        <v>15</v>
      </c>
      <c r="E136" s="4">
        <v>19</v>
      </c>
      <c r="F136" s="4">
        <v>2</v>
      </c>
      <c r="G136" s="4">
        <v>3</v>
      </c>
      <c r="H136" s="4">
        <v>5</v>
      </c>
      <c r="I136" s="39">
        <v>20</v>
      </c>
      <c r="J136" s="4"/>
      <c r="K136" s="5"/>
      <c r="L136" s="5"/>
    </row>
    <row r="137" spans="1:12">
      <c r="A137" s="38" t="s">
        <v>182</v>
      </c>
      <c r="B137" s="4"/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39">
        <v>0</v>
      </c>
      <c r="J137" s="4"/>
      <c r="K137" s="5"/>
      <c r="L137" s="5"/>
    </row>
    <row r="138" spans="1:12">
      <c r="A138" s="38" t="s">
        <v>118</v>
      </c>
      <c r="B138" s="4"/>
      <c r="C138" s="4">
        <v>40</v>
      </c>
      <c r="D138" s="4">
        <v>70</v>
      </c>
      <c r="E138" s="4">
        <v>80</v>
      </c>
      <c r="F138" s="4">
        <v>88</v>
      </c>
      <c r="G138" s="4"/>
      <c r="H138" s="4"/>
      <c r="I138" s="39">
        <v>26</v>
      </c>
      <c r="J138" s="4"/>
      <c r="K138" s="5"/>
      <c r="L138" s="5"/>
    </row>
    <row r="139" spans="1:12">
      <c r="A139" s="38" t="s">
        <v>302</v>
      </c>
      <c r="B139" s="4"/>
      <c r="C139" s="4"/>
      <c r="D139" s="4"/>
      <c r="E139" s="4"/>
      <c r="F139" s="4"/>
      <c r="G139" s="4"/>
      <c r="H139" s="4"/>
      <c r="I139" s="39">
        <v>0</v>
      </c>
      <c r="J139" s="4"/>
      <c r="K139" s="5"/>
      <c r="L139" s="5"/>
    </row>
    <row r="140" spans="1:12">
      <c r="A140" s="38" t="s">
        <v>252</v>
      </c>
      <c r="B140" s="4">
        <v>0</v>
      </c>
      <c r="C140" s="4">
        <v>0</v>
      </c>
      <c r="D140" s="4">
        <v>118</v>
      </c>
      <c r="E140" s="4">
        <v>104</v>
      </c>
      <c r="F140" s="4">
        <v>27</v>
      </c>
      <c r="G140" s="4">
        <v>26</v>
      </c>
      <c r="H140" s="4">
        <v>26</v>
      </c>
      <c r="I140" s="39">
        <v>3</v>
      </c>
      <c r="J140" s="4"/>
      <c r="K140" s="5"/>
      <c r="L140" s="5"/>
    </row>
    <row r="141" spans="1:12">
      <c r="A141" s="38" t="s">
        <v>265</v>
      </c>
      <c r="B141" s="4">
        <v>0</v>
      </c>
      <c r="C141" s="4">
        <v>3</v>
      </c>
      <c r="D141" s="4">
        <v>0</v>
      </c>
      <c r="E141" s="4">
        <v>0</v>
      </c>
      <c r="F141" s="4">
        <v>0</v>
      </c>
      <c r="G141" s="4">
        <v>0</v>
      </c>
      <c r="H141" s="4">
        <v>68</v>
      </c>
      <c r="I141" s="39">
        <v>0</v>
      </c>
      <c r="J141" s="4"/>
      <c r="K141" s="5"/>
      <c r="L141" s="5"/>
    </row>
    <row r="142" spans="1:12">
      <c r="A142" s="38" t="s">
        <v>91</v>
      </c>
      <c r="B142" s="4">
        <v>0</v>
      </c>
      <c r="C142" s="4">
        <v>258</v>
      </c>
      <c r="D142" s="4">
        <v>18</v>
      </c>
      <c r="E142" s="4">
        <v>203</v>
      </c>
      <c r="F142" s="4">
        <v>177</v>
      </c>
      <c r="G142" s="4">
        <v>378</v>
      </c>
      <c r="H142" s="4">
        <v>242</v>
      </c>
      <c r="I142" s="39">
        <v>242</v>
      </c>
      <c r="J142" s="4"/>
      <c r="K142" s="5"/>
      <c r="L142" s="5"/>
    </row>
    <row r="143" spans="1:12">
      <c r="A143" s="38" t="s">
        <v>157</v>
      </c>
      <c r="B143" s="4">
        <v>0</v>
      </c>
      <c r="C143" s="4">
        <v>2</v>
      </c>
      <c r="D143" s="4">
        <v>1</v>
      </c>
      <c r="E143" s="4">
        <v>3</v>
      </c>
      <c r="F143" s="4">
        <v>1</v>
      </c>
      <c r="G143" s="4">
        <v>13</v>
      </c>
      <c r="H143" s="4">
        <v>1</v>
      </c>
      <c r="I143" s="39">
        <v>0</v>
      </c>
      <c r="J143" s="4"/>
      <c r="K143" s="5"/>
      <c r="L143" s="5"/>
    </row>
    <row r="144" spans="1:12">
      <c r="A144" s="38" t="s">
        <v>208</v>
      </c>
      <c r="B144" s="4">
        <v>1816</v>
      </c>
      <c r="C144" s="4">
        <v>2237</v>
      </c>
      <c r="D144" s="4">
        <v>4072</v>
      </c>
      <c r="E144" s="4">
        <v>5297</v>
      </c>
      <c r="F144" s="4">
        <v>14849</v>
      </c>
      <c r="G144" s="4">
        <v>30318</v>
      </c>
      <c r="H144" s="4">
        <v>29089</v>
      </c>
      <c r="I144" s="39">
        <v>19357</v>
      </c>
      <c r="J144" s="4"/>
      <c r="K144" s="5"/>
      <c r="L144" s="5"/>
    </row>
    <row r="145" spans="1:12">
      <c r="A145" s="38" t="s">
        <v>17</v>
      </c>
      <c r="B145" s="4">
        <v>26242</v>
      </c>
      <c r="C145" s="4">
        <v>32439</v>
      </c>
      <c r="D145" s="4">
        <v>39512</v>
      </c>
      <c r="E145" s="4">
        <v>0</v>
      </c>
      <c r="F145" s="4">
        <v>0</v>
      </c>
      <c r="G145" s="4">
        <v>0</v>
      </c>
      <c r="H145" s="4">
        <v>0</v>
      </c>
      <c r="I145" s="39">
        <v>0</v>
      </c>
      <c r="J145" s="4"/>
      <c r="K145" s="5"/>
      <c r="L145" s="5"/>
    </row>
    <row r="146" spans="1:12">
      <c r="A146" s="38" t="s">
        <v>290</v>
      </c>
      <c r="B146" s="4"/>
      <c r="C146" s="4"/>
      <c r="D146" s="4"/>
      <c r="E146" s="4">
        <v>0</v>
      </c>
      <c r="F146" s="4"/>
      <c r="G146" s="4"/>
      <c r="H146" s="4"/>
      <c r="I146" s="39">
        <v>1</v>
      </c>
      <c r="J146" s="4"/>
      <c r="K146" s="5"/>
      <c r="L146" s="5"/>
    </row>
    <row r="147" spans="1:12">
      <c r="A147" s="38" t="s">
        <v>223</v>
      </c>
      <c r="B147" s="4">
        <v>2615</v>
      </c>
      <c r="C147" s="4">
        <v>1918</v>
      </c>
      <c r="D147" s="4">
        <v>1342</v>
      </c>
      <c r="E147" s="4">
        <v>724</v>
      </c>
      <c r="F147" s="4">
        <v>380</v>
      </c>
      <c r="G147" s="4">
        <v>832</v>
      </c>
      <c r="H147" s="4">
        <v>419</v>
      </c>
      <c r="I147" s="39">
        <v>634</v>
      </c>
      <c r="J147" s="4"/>
      <c r="K147" s="5"/>
      <c r="L147" s="5"/>
    </row>
    <row r="148" spans="1:12">
      <c r="A148" s="38" t="s">
        <v>304</v>
      </c>
      <c r="B148" s="4"/>
      <c r="C148" s="4">
        <v>0</v>
      </c>
      <c r="D148" s="4"/>
      <c r="E148" s="4"/>
      <c r="F148" s="4"/>
      <c r="G148" s="4"/>
      <c r="H148" s="4"/>
      <c r="I148" s="39"/>
      <c r="J148" s="4"/>
      <c r="K148" s="5"/>
      <c r="L148" s="5"/>
    </row>
    <row r="149" spans="1:12">
      <c r="A149" s="38" t="s">
        <v>130</v>
      </c>
      <c r="B149" s="4">
        <v>22</v>
      </c>
      <c r="C149" s="4">
        <v>12</v>
      </c>
      <c r="D149" s="4">
        <v>0</v>
      </c>
      <c r="E149" s="4">
        <v>3</v>
      </c>
      <c r="F149" s="4">
        <v>0</v>
      </c>
      <c r="G149" s="4">
        <v>0</v>
      </c>
      <c r="H149" s="4">
        <v>0</v>
      </c>
      <c r="I149" s="39"/>
      <c r="J149" s="4"/>
      <c r="K149" s="5"/>
      <c r="L149" s="5"/>
    </row>
    <row r="150" spans="1:12">
      <c r="A150" s="38" t="s">
        <v>276</v>
      </c>
      <c r="B150" s="4">
        <v>0</v>
      </c>
      <c r="C150" s="4">
        <v>0</v>
      </c>
      <c r="D150" s="4">
        <v>0</v>
      </c>
      <c r="E150" s="4"/>
      <c r="F150" s="4"/>
      <c r="G150" s="4">
        <v>28</v>
      </c>
      <c r="H150" s="4"/>
      <c r="I150" s="39"/>
      <c r="J150" s="4"/>
      <c r="K150" s="5"/>
      <c r="L150" s="5"/>
    </row>
    <row r="151" spans="1:12">
      <c r="A151" s="38" t="s">
        <v>116</v>
      </c>
      <c r="B151" s="4">
        <v>2</v>
      </c>
      <c r="C151" s="4">
        <v>0</v>
      </c>
      <c r="D151" s="4">
        <v>0</v>
      </c>
      <c r="E151" s="4">
        <v>0</v>
      </c>
      <c r="F151" s="4">
        <v>19</v>
      </c>
      <c r="G151" s="4">
        <v>0</v>
      </c>
      <c r="H151" s="4">
        <v>537</v>
      </c>
      <c r="I151" s="39">
        <v>347</v>
      </c>
      <c r="J151" s="4"/>
      <c r="K151" s="5"/>
      <c r="L151" s="5"/>
    </row>
    <row r="152" spans="1:12">
      <c r="A152" s="38" t="s">
        <v>283</v>
      </c>
      <c r="B152" s="4">
        <v>0</v>
      </c>
      <c r="C152" s="4">
        <v>0</v>
      </c>
      <c r="D152" s="4">
        <v>0</v>
      </c>
      <c r="E152" s="4">
        <v>8</v>
      </c>
      <c r="F152" s="4">
        <v>0</v>
      </c>
      <c r="G152" s="4">
        <v>0</v>
      </c>
      <c r="H152" s="4">
        <v>0</v>
      </c>
      <c r="I152" s="39">
        <v>0</v>
      </c>
      <c r="J152" s="4"/>
      <c r="K152" s="5"/>
      <c r="L152" s="5"/>
    </row>
    <row r="153" spans="1:12">
      <c r="A153" s="38" t="s">
        <v>292</v>
      </c>
      <c r="B153" s="4">
        <v>1</v>
      </c>
      <c r="C153" s="4">
        <v>0</v>
      </c>
      <c r="D153" s="4">
        <v>0</v>
      </c>
      <c r="E153" s="4">
        <v>0</v>
      </c>
      <c r="F153" s="4">
        <v>0</v>
      </c>
      <c r="G153" s="4"/>
      <c r="H153" s="4">
        <v>0</v>
      </c>
      <c r="I153" s="39">
        <v>0</v>
      </c>
      <c r="J153" s="4"/>
      <c r="K153" s="5"/>
      <c r="L153" s="5"/>
    </row>
    <row r="154" spans="1:12">
      <c r="A154" s="38" t="s">
        <v>258</v>
      </c>
      <c r="B154" s="4">
        <v>0</v>
      </c>
      <c r="C154" s="4">
        <v>29</v>
      </c>
      <c r="D154" s="4">
        <v>0</v>
      </c>
      <c r="E154" s="4">
        <v>18</v>
      </c>
      <c r="F154" s="4">
        <v>19</v>
      </c>
      <c r="G154" s="4">
        <v>0</v>
      </c>
      <c r="H154" s="4">
        <v>0</v>
      </c>
      <c r="I154" s="39">
        <v>63</v>
      </c>
      <c r="J154" s="4"/>
      <c r="K154" s="5"/>
      <c r="L154" s="5"/>
    </row>
    <row r="155" spans="1:12">
      <c r="A155" s="38" t="s">
        <v>288</v>
      </c>
      <c r="B155" s="4">
        <v>0</v>
      </c>
      <c r="C155" s="4">
        <v>2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39">
        <v>0</v>
      </c>
      <c r="J155" s="4"/>
      <c r="K155" s="5"/>
      <c r="L155" s="5"/>
    </row>
    <row r="156" spans="1:12">
      <c r="A156" s="38" t="s">
        <v>108</v>
      </c>
      <c r="B156" s="4">
        <v>6</v>
      </c>
      <c r="C156" s="4">
        <v>3</v>
      </c>
      <c r="D156" s="4">
        <v>2</v>
      </c>
      <c r="E156" s="4">
        <v>5</v>
      </c>
      <c r="F156" s="4">
        <v>2</v>
      </c>
      <c r="G156" s="4">
        <v>1</v>
      </c>
      <c r="H156" s="4">
        <v>4</v>
      </c>
      <c r="I156" s="39">
        <v>1</v>
      </c>
      <c r="J156" s="4">
        <v>0</v>
      </c>
      <c r="K156" s="5"/>
      <c r="L156" s="5"/>
    </row>
    <row r="157" spans="1:12">
      <c r="A157" s="38" t="s">
        <v>295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39">
        <v>0</v>
      </c>
      <c r="J157" s="4"/>
      <c r="K157" s="5"/>
      <c r="L157" s="5"/>
    </row>
    <row r="158" spans="1:12">
      <c r="A158" s="38" t="s">
        <v>241</v>
      </c>
      <c r="B158" s="4">
        <v>459</v>
      </c>
      <c r="C158" s="4">
        <v>360</v>
      </c>
      <c r="D158" s="4">
        <v>3</v>
      </c>
      <c r="E158" s="4">
        <v>21</v>
      </c>
      <c r="F158" s="4">
        <v>14</v>
      </c>
      <c r="G158" s="4">
        <v>3</v>
      </c>
      <c r="H158" s="4">
        <v>44</v>
      </c>
      <c r="I158" s="39"/>
      <c r="J158" s="4"/>
      <c r="K158" s="5"/>
      <c r="L158" s="5"/>
    </row>
    <row r="159" spans="1:12">
      <c r="A159" s="38" t="s">
        <v>263</v>
      </c>
      <c r="B159" s="4">
        <v>0</v>
      </c>
      <c r="C159" s="4">
        <v>84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39">
        <v>0</v>
      </c>
      <c r="J159" s="4"/>
      <c r="K159" s="5"/>
      <c r="L159" s="5"/>
    </row>
    <row r="160" spans="1:12">
      <c r="A160" s="38" t="s">
        <v>244</v>
      </c>
      <c r="B160" s="4"/>
      <c r="C160" s="4"/>
      <c r="D160" s="4"/>
      <c r="E160" s="4">
        <v>1</v>
      </c>
      <c r="F160" s="4">
        <v>2</v>
      </c>
      <c r="G160" s="4">
        <v>7</v>
      </c>
      <c r="H160" s="4">
        <v>638</v>
      </c>
      <c r="I160" s="39"/>
      <c r="J160" s="4"/>
      <c r="K160" s="5"/>
      <c r="L160" s="5"/>
    </row>
    <row r="161" spans="1:12">
      <c r="A161" s="38" t="s">
        <v>266</v>
      </c>
      <c r="B161" s="4"/>
      <c r="C161" s="4">
        <v>58</v>
      </c>
      <c r="D161" s="4"/>
      <c r="E161" s="4"/>
      <c r="F161" s="4"/>
      <c r="G161" s="4"/>
      <c r="H161" s="4"/>
      <c r="I161" s="39"/>
      <c r="J161" s="4"/>
      <c r="K161" s="5"/>
      <c r="L161" s="5"/>
    </row>
    <row r="162" spans="1:12">
      <c r="A162" s="38" t="s">
        <v>285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4</v>
      </c>
      <c r="I162" s="39">
        <v>0</v>
      </c>
      <c r="J162" s="4"/>
      <c r="K162" s="5"/>
      <c r="L162" s="5"/>
    </row>
    <row r="163" spans="1:12">
      <c r="A163" s="38" t="s">
        <v>305</v>
      </c>
      <c r="B163" s="4"/>
      <c r="C163" s="4"/>
      <c r="D163" s="4"/>
      <c r="E163" s="4"/>
      <c r="F163" s="4">
        <v>0</v>
      </c>
      <c r="G163" s="4"/>
      <c r="H163" s="4"/>
      <c r="I163" s="39"/>
      <c r="J163" s="4"/>
      <c r="K163" s="5"/>
      <c r="L163" s="5"/>
    </row>
    <row r="164" spans="1:12">
      <c r="A164" s="38" t="s">
        <v>239</v>
      </c>
      <c r="B164" s="4">
        <v>350</v>
      </c>
      <c r="C164" s="4">
        <v>331</v>
      </c>
      <c r="D164" s="4">
        <v>327</v>
      </c>
      <c r="E164" s="4">
        <v>0</v>
      </c>
      <c r="F164" s="4">
        <v>9</v>
      </c>
      <c r="G164" s="4">
        <v>0</v>
      </c>
      <c r="H164" s="4">
        <v>9</v>
      </c>
      <c r="I164" s="39">
        <v>3</v>
      </c>
      <c r="J164" s="4">
        <v>0</v>
      </c>
      <c r="K164" s="5"/>
      <c r="L164" s="5"/>
    </row>
    <row r="165" spans="1:12">
      <c r="A165" s="38" t="s">
        <v>282</v>
      </c>
      <c r="B165" s="4">
        <v>0</v>
      </c>
      <c r="C165" s="4">
        <v>4</v>
      </c>
      <c r="D165" s="4">
        <v>0</v>
      </c>
      <c r="E165" s="4">
        <v>0</v>
      </c>
      <c r="F165" s="4">
        <v>0</v>
      </c>
      <c r="G165" s="4">
        <v>2</v>
      </c>
      <c r="H165" s="4">
        <v>1</v>
      </c>
      <c r="I165" s="39">
        <v>1</v>
      </c>
      <c r="J165" s="4"/>
      <c r="K165" s="5"/>
      <c r="L165" s="5"/>
    </row>
    <row r="166" spans="1:12">
      <c r="A166" s="38" t="s">
        <v>291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1</v>
      </c>
      <c r="H166" s="4">
        <v>0</v>
      </c>
      <c r="I166" s="39">
        <v>0</v>
      </c>
      <c r="J166" s="4"/>
      <c r="K166" s="5"/>
      <c r="L166" s="5"/>
    </row>
    <row r="167" spans="1:12">
      <c r="A167" s="38" t="s">
        <v>107</v>
      </c>
      <c r="B167" s="4">
        <v>192</v>
      </c>
      <c r="C167" s="4">
        <v>158</v>
      </c>
      <c r="D167" s="4">
        <v>71</v>
      </c>
      <c r="E167" s="4">
        <v>109</v>
      </c>
      <c r="F167" s="4">
        <v>0</v>
      </c>
      <c r="G167" s="4">
        <v>207</v>
      </c>
      <c r="H167" s="4">
        <v>30</v>
      </c>
      <c r="I167" s="39"/>
      <c r="J167" s="4"/>
      <c r="K167" s="5"/>
      <c r="L167" s="5"/>
    </row>
    <row r="168" spans="1:12">
      <c r="A168" s="38" t="s">
        <v>246</v>
      </c>
      <c r="B168" s="4">
        <v>54</v>
      </c>
      <c r="C168" s="4">
        <v>57</v>
      </c>
      <c r="D168" s="4">
        <v>48</v>
      </c>
      <c r="E168" s="4">
        <v>51</v>
      </c>
      <c r="F168" s="4">
        <v>54</v>
      </c>
      <c r="G168" s="4">
        <v>52</v>
      </c>
      <c r="H168" s="4">
        <v>80</v>
      </c>
      <c r="I168" s="39">
        <v>146</v>
      </c>
      <c r="J168" s="4">
        <v>0</v>
      </c>
      <c r="K168" s="5"/>
      <c r="L168" s="5"/>
    </row>
    <row r="169" spans="1:12">
      <c r="A169" s="38" t="s">
        <v>119</v>
      </c>
      <c r="B169" s="4">
        <v>1043</v>
      </c>
      <c r="C169" s="4">
        <v>755</v>
      </c>
      <c r="D169" s="4">
        <v>519</v>
      </c>
      <c r="E169" s="4">
        <v>452</v>
      </c>
      <c r="F169" s="4">
        <v>206</v>
      </c>
      <c r="G169" s="4">
        <v>166</v>
      </c>
      <c r="H169" s="4">
        <v>293</v>
      </c>
      <c r="I169" s="39">
        <v>727</v>
      </c>
      <c r="J169" s="4"/>
      <c r="K169" s="5"/>
      <c r="L169" s="5"/>
    </row>
    <row r="170" spans="1:12">
      <c r="A170" s="38" t="s">
        <v>273</v>
      </c>
      <c r="B170" s="4">
        <v>0</v>
      </c>
      <c r="C170" s="4">
        <v>5</v>
      </c>
      <c r="D170" s="4"/>
      <c r="E170" s="4"/>
      <c r="F170" s="4"/>
      <c r="G170" s="4"/>
      <c r="H170" s="4"/>
      <c r="I170" s="39">
        <v>29</v>
      </c>
      <c r="J170" s="4"/>
      <c r="K170" s="5"/>
      <c r="L170" s="5"/>
    </row>
    <row r="171" spans="1:12">
      <c r="A171" s="38" t="s">
        <v>95</v>
      </c>
      <c r="B171" s="4">
        <v>3124</v>
      </c>
      <c r="C171" s="4">
        <v>4416</v>
      </c>
      <c r="D171" s="4">
        <v>3526</v>
      </c>
      <c r="E171" s="4">
        <v>1513</v>
      </c>
      <c r="F171" s="4">
        <v>360</v>
      </c>
      <c r="G171" s="4">
        <v>279</v>
      </c>
      <c r="H171" s="4">
        <v>0</v>
      </c>
      <c r="I171" s="39"/>
      <c r="J171" s="4"/>
      <c r="K171" s="5"/>
      <c r="L171" s="5"/>
    </row>
    <row r="172" spans="1:12">
      <c r="A172" s="38" t="s">
        <v>248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466</v>
      </c>
      <c r="I172" s="39"/>
      <c r="J172" s="4"/>
      <c r="K172" s="5"/>
      <c r="L172" s="5"/>
    </row>
    <row r="173" spans="1:12" hidden="1">
      <c r="A173" s="38" t="s">
        <v>193</v>
      </c>
      <c r="B173" s="4">
        <v>5163869</v>
      </c>
      <c r="C173" s="4">
        <v>5456514</v>
      </c>
      <c r="D173" s="4">
        <v>5787021</v>
      </c>
      <c r="E173" s="4">
        <v>6410034</v>
      </c>
      <c r="F173" s="4">
        <v>6157109</v>
      </c>
      <c r="G173" s="4">
        <v>6229786</v>
      </c>
      <c r="H173" s="4">
        <v>6804046</v>
      </c>
      <c r="I173" s="39">
        <v>6929245</v>
      </c>
      <c r="J173" s="4"/>
      <c r="K173" s="5"/>
      <c r="L173" s="5"/>
    </row>
    <row r="174" spans="1:12">
      <c r="A174" s="38" t="s">
        <v>289</v>
      </c>
      <c r="B174" s="4"/>
      <c r="C174" s="4"/>
      <c r="D174" s="4"/>
      <c r="E174" s="4"/>
      <c r="F174" s="4"/>
      <c r="G174" s="4">
        <v>2</v>
      </c>
      <c r="H174" s="4"/>
      <c r="I174" s="39"/>
      <c r="J174" s="4"/>
      <c r="K174" s="5"/>
      <c r="L174" s="5"/>
    </row>
    <row r="175" spans="1:12">
      <c r="A175" s="38" t="s">
        <v>93</v>
      </c>
      <c r="B175" s="4">
        <v>0</v>
      </c>
      <c r="C175" s="4">
        <v>1017</v>
      </c>
      <c r="D175" s="4">
        <v>1897</v>
      </c>
      <c r="E175" s="4">
        <v>99</v>
      </c>
      <c r="F175" s="4">
        <v>5</v>
      </c>
      <c r="G175" s="4">
        <v>0</v>
      </c>
      <c r="H175" s="4">
        <v>48</v>
      </c>
      <c r="I175" s="39">
        <v>616</v>
      </c>
      <c r="J175" s="4"/>
      <c r="K175" s="5"/>
      <c r="L175" s="5"/>
    </row>
    <row r="176" spans="1:12">
      <c r="A176" s="38" t="s">
        <v>280</v>
      </c>
      <c r="B176" s="4">
        <v>12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39">
        <v>0</v>
      </c>
      <c r="J176" s="4"/>
      <c r="K176" s="5"/>
      <c r="L176" s="5"/>
    </row>
    <row r="177" spans="1:12">
      <c r="A177" s="38" t="s">
        <v>65</v>
      </c>
      <c r="B177" s="4">
        <v>8810</v>
      </c>
      <c r="C177" s="4">
        <v>6500</v>
      </c>
      <c r="D177" s="4">
        <v>0</v>
      </c>
      <c r="E177" s="4">
        <v>12690</v>
      </c>
      <c r="F177" s="4">
        <v>3722</v>
      </c>
      <c r="G177" s="4">
        <v>4363</v>
      </c>
      <c r="H177" s="4">
        <v>6682</v>
      </c>
      <c r="I177" s="39">
        <v>11442</v>
      </c>
      <c r="J177" s="4"/>
      <c r="K177" s="5"/>
      <c r="L177" s="5"/>
    </row>
    <row r="178" spans="1:12">
      <c r="A178" s="38" t="s">
        <v>94</v>
      </c>
      <c r="B178" s="4">
        <v>627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39">
        <v>0</v>
      </c>
      <c r="J178" s="4"/>
      <c r="K178" s="5"/>
      <c r="L178" s="5"/>
    </row>
    <row r="179" spans="1:12">
      <c r="A179" s="38" t="s">
        <v>281</v>
      </c>
      <c r="B179" s="4">
        <v>0</v>
      </c>
      <c r="C179" s="4">
        <v>0</v>
      </c>
      <c r="D179" s="4">
        <v>0</v>
      </c>
      <c r="E179" s="4">
        <v>0</v>
      </c>
      <c r="F179" s="4"/>
      <c r="G179" s="4">
        <v>11</v>
      </c>
      <c r="H179" s="4"/>
      <c r="I179" s="39"/>
      <c r="J179" s="4"/>
      <c r="K179" s="5"/>
      <c r="L179" s="5"/>
    </row>
    <row r="180" spans="1:12">
      <c r="A180" s="40" t="s">
        <v>219</v>
      </c>
      <c r="B180" s="41">
        <v>3610</v>
      </c>
      <c r="C180" s="41">
        <v>1741</v>
      </c>
      <c r="D180" s="41">
        <v>1981</v>
      </c>
      <c r="E180" s="41">
        <v>2853</v>
      </c>
      <c r="F180" s="41">
        <v>0</v>
      </c>
      <c r="G180" s="41">
        <v>528</v>
      </c>
      <c r="H180" s="41">
        <v>523</v>
      </c>
      <c r="I180" s="42">
        <v>1963</v>
      </c>
      <c r="J180" s="41"/>
      <c r="K180" s="5"/>
      <c r="L180" s="5"/>
    </row>
    <row r="181" spans="1:12">
      <c r="A181" s="40" t="s">
        <v>405</v>
      </c>
      <c r="B181" s="41">
        <f>SUBTOTAL(109,B5:B180)</f>
        <v>5163866</v>
      </c>
      <c r="C181" s="41">
        <f t="shared" ref="C181:J181" si="0">SUBTOTAL(109,C5:C180)</f>
        <v>5456514</v>
      </c>
      <c r="D181" s="41">
        <f t="shared" si="0"/>
        <v>5786282</v>
      </c>
      <c r="E181" s="41">
        <f t="shared" si="0"/>
        <v>6410034</v>
      </c>
      <c r="F181" s="41">
        <f t="shared" si="0"/>
        <v>6157109</v>
      </c>
      <c r="G181" s="41">
        <f t="shared" si="0"/>
        <v>6229786</v>
      </c>
      <c r="H181" s="41">
        <f t="shared" si="0"/>
        <v>6804046</v>
      </c>
      <c r="I181" s="41">
        <f t="shared" si="0"/>
        <v>6929245</v>
      </c>
      <c r="J181" s="41">
        <f t="shared" si="0"/>
        <v>5942349.907999998</v>
      </c>
    </row>
  </sheetData>
  <phoneticPr fontId="31" type="noConversion"/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EE1E-E6B0-4922-A460-9EB1A17C23B3}">
  <dimension ref="A1:N99"/>
  <sheetViews>
    <sheetView topLeftCell="E77" zoomScale="85" zoomScaleNormal="85" workbookViewId="0">
      <selection activeCell="L85" sqref="L85"/>
    </sheetView>
  </sheetViews>
  <sheetFormatPr baseColWidth="10" defaultRowHeight="11.25"/>
  <cols>
    <col min="1" max="1" width="11.42578125" style="1"/>
    <col min="2" max="2" width="20.7109375" style="1" customWidth="1"/>
    <col min="3" max="6" width="11.42578125" style="1"/>
    <col min="7" max="7" width="18.28515625" style="1" bestFit="1" customWidth="1"/>
    <col min="8" max="16384" width="11.42578125" style="1"/>
  </cols>
  <sheetData>
    <row r="1" spans="2:12">
      <c r="B1" s="1" t="s">
        <v>307</v>
      </c>
    </row>
    <row r="2" spans="2:12">
      <c r="G2" s="43" t="s">
        <v>308</v>
      </c>
    </row>
    <row r="3" spans="2:12">
      <c r="C3" s="44" t="s">
        <v>309</v>
      </c>
      <c r="D3" s="44" t="s">
        <v>308</v>
      </c>
      <c r="E3" s="1" t="s">
        <v>6</v>
      </c>
      <c r="G3" s="45" t="s">
        <v>29</v>
      </c>
      <c r="H3" s="1">
        <v>425724</v>
      </c>
      <c r="K3" s="3" t="s">
        <v>310</v>
      </c>
      <c r="L3" s="3" t="s">
        <v>6</v>
      </c>
    </row>
    <row r="4" spans="2:12">
      <c r="B4" s="4" t="s">
        <v>20</v>
      </c>
      <c r="C4" s="1">
        <v>1849255</v>
      </c>
      <c r="D4" s="1">
        <v>142072</v>
      </c>
      <c r="E4" s="1">
        <f>C4+D4</f>
        <v>1991327</v>
      </c>
      <c r="G4" s="1" t="s">
        <v>311</v>
      </c>
      <c r="H4" s="1">
        <v>376657</v>
      </c>
      <c r="K4" s="3" t="s">
        <v>20</v>
      </c>
      <c r="L4" s="4">
        <v>1991327</v>
      </c>
    </row>
    <row r="5" spans="2:12">
      <c r="B5" s="1" t="s">
        <v>53</v>
      </c>
      <c r="C5" s="1">
        <v>1036367</v>
      </c>
      <c r="D5" s="1">
        <v>23713</v>
      </c>
      <c r="E5" s="1">
        <f t="shared" ref="E5:E17" si="0">C5+D5</f>
        <v>1060080</v>
      </c>
      <c r="G5" s="45" t="s">
        <v>31</v>
      </c>
      <c r="H5" s="1">
        <v>335926</v>
      </c>
      <c r="K5" s="3" t="s">
        <v>21</v>
      </c>
      <c r="L5" s="4">
        <v>1145103</v>
      </c>
    </row>
    <row r="6" spans="2:12">
      <c r="B6" s="1" t="s">
        <v>16</v>
      </c>
      <c r="C6" s="1">
        <v>752170</v>
      </c>
      <c r="D6" s="1">
        <v>229914</v>
      </c>
      <c r="E6" s="1">
        <f t="shared" si="0"/>
        <v>982084</v>
      </c>
      <c r="G6" s="45" t="s">
        <v>16</v>
      </c>
      <c r="H6" s="1">
        <v>229914</v>
      </c>
      <c r="K6" s="3" t="s">
        <v>53</v>
      </c>
      <c r="L6" s="4">
        <v>1060080</v>
      </c>
    </row>
    <row r="7" spans="2:12">
      <c r="B7" s="1" t="s">
        <v>21</v>
      </c>
      <c r="C7" s="1">
        <v>719379</v>
      </c>
      <c r="D7" s="1">
        <v>425724</v>
      </c>
      <c r="E7" s="1">
        <f t="shared" si="0"/>
        <v>1145103</v>
      </c>
      <c r="G7" s="45" t="s">
        <v>32</v>
      </c>
      <c r="H7" s="1">
        <v>253731</v>
      </c>
      <c r="K7" s="3" t="s">
        <v>16</v>
      </c>
      <c r="L7" s="4">
        <v>982084</v>
      </c>
    </row>
    <row r="8" spans="2:12">
      <c r="B8" s="1" t="s">
        <v>195</v>
      </c>
      <c r="C8" s="1">
        <v>463500</v>
      </c>
      <c r="E8" s="1">
        <f t="shared" si="0"/>
        <v>463500</v>
      </c>
      <c r="G8" s="1" t="s">
        <v>33</v>
      </c>
      <c r="H8" s="1">
        <v>213051</v>
      </c>
      <c r="K8" s="3" t="s">
        <v>18</v>
      </c>
      <c r="L8" s="4">
        <v>622186</v>
      </c>
    </row>
    <row r="9" spans="2:12">
      <c r="B9" s="1" t="s">
        <v>18</v>
      </c>
      <c r="C9" s="1">
        <v>533148</v>
      </c>
      <c r="D9" s="1">
        <v>89038</v>
      </c>
      <c r="E9" s="1">
        <f t="shared" si="0"/>
        <v>622186</v>
      </c>
      <c r="G9" s="1" t="s">
        <v>34</v>
      </c>
      <c r="H9" s="1">
        <v>26030</v>
      </c>
      <c r="K9" s="3" t="s">
        <v>195</v>
      </c>
      <c r="L9" s="4">
        <v>463500</v>
      </c>
    </row>
    <row r="10" spans="2:12">
      <c r="B10" s="1" t="s">
        <v>49</v>
      </c>
      <c r="C10" s="1">
        <v>342229</v>
      </c>
      <c r="E10" s="1">
        <f t="shared" si="0"/>
        <v>342229</v>
      </c>
      <c r="G10" s="1" t="s">
        <v>35</v>
      </c>
      <c r="H10" s="1">
        <v>180379</v>
      </c>
      <c r="K10" s="3" t="s">
        <v>199</v>
      </c>
      <c r="L10" s="4">
        <v>438337</v>
      </c>
    </row>
    <row r="11" spans="2:12">
      <c r="B11" s="1" t="s">
        <v>38</v>
      </c>
      <c r="C11" s="1">
        <v>182797</v>
      </c>
      <c r="D11" s="1">
        <v>154551</v>
      </c>
      <c r="E11" s="1">
        <f t="shared" si="0"/>
        <v>337348</v>
      </c>
      <c r="G11" s="45" t="s">
        <v>36</v>
      </c>
      <c r="H11" s="1">
        <v>142072</v>
      </c>
      <c r="K11" s="3" t="s">
        <v>13</v>
      </c>
      <c r="L11" s="4">
        <v>430031</v>
      </c>
    </row>
    <row r="12" spans="2:12">
      <c r="B12" s="1" t="s">
        <v>196</v>
      </c>
      <c r="C12" s="1">
        <v>107982</v>
      </c>
      <c r="D12" s="1">
        <v>253731</v>
      </c>
      <c r="E12" s="1">
        <f t="shared" si="0"/>
        <v>361713</v>
      </c>
      <c r="G12" s="1" t="s">
        <v>37</v>
      </c>
      <c r="H12" s="1">
        <v>175075</v>
      </c>
      <c r="K12" s="3" t="s">
        <v>196</v>
      </c>
      <c r="L12" s="4">
        <v>361713</v>
      </c>
    </row>
    <row r="13" spans="2:12">
      <c r="B13" s="1" t="s">
        <v>13</v>
      </c>
      <c r="C13" s="1">
        <v>94105</v>
      </c>
      <c r="D13" s="1">
        <v>335926</v>
      </c>
      <c r="E13" s="1">
        <f t="shared" si="0"/>
        <v>430031</v>
      </c>
      <c r="G13" s="1" t="s">
        <v>38</v>
      </c>
      <c r="H13" s="1">
        <v>154551</v>
      </c>
      <c r="K13" s="3" t="s">
        <v>49</v>
      </c>
      <c r="L13" s="4">
        <v>342229</v>
      </c>
    </row>
    <row r="14" spans="2:12">
      <c r="B14" s="1" t="s">
        <v>197</v>
      </c>
      <c r="D14" s="1">
        <v>26030</v>
      </c>
      <c r="E14" s="1">
        <f t="shared" si="0"/>
        <v>26030</v>
      </c>
      <c r="G14" s="1" t="s">
        <v>39</v>
      </c>
      <c r="H14" s="1">
        <v>107637</v>
      </c>
      <c r="K14" s="3" t="s">
        <v>38</v>
      </c>
      <c r="L14" s="4">
        <v>337348</v>
      </c>
    </row>
    <row r="15" spans="2:12">
      <c r="B15" s="1" t="s">
        <v>198</v>
      </c>
      <c r="C15" s="4">
        <v>47518</v>
      </c>
      <c r="E15" s="1">
        <f t="shared" si="0"/>
        <v>47518</v>
      </c>
      <c r="G15" s="45" t="s">
        <v>18</v>
      </c>
      <c r="H15" s="1">
        <v>89038</v>
      </c>
      <c r="K15" s="3" t="s">
        <v>200</v>
      </c>
      <c r="L15" s="4">
        <v>259766</v>
      </c>
    </row>
    <row r="16" spans="2:12">
      <c r="B16" s="1" t="s">
        <v>199</v>
      </c>
      <c r="C16" s="4">
        <v>61680</v>
      </c>
      <c r="D16" s="1">
        <v>376657</v>
      </c>
      <c r="E16" s="1">
        <f t="shared" si="0"/>
        <v>438337</v>
      </c>
      <c r="G16" s="45" t="s">
        <v>53</v>
      </c>
      <c r="H16" s="1">
        <v>23713</v>
      </c>
      <c r="K16" s="3" t="s">
        <v>198</v>
      </c>
      <c r="L16" s="4">
        <v>47518</v>
      </c>
    </row>
    <row r="17" spans="1:12">
      <c r="B17" s="1" t="s">
        <v>82</v>
      </c>
      <c r="C17" s="4">
        <v>45226</v>
      </c>
      <c r="E17" s="1">
        <f t="shared" si="0"/>
        <v>45226</v>
      </c>
      <c r="G17" s="1" t="s">
        <v>54</v>
      </c>
      <c r="H17" s="1">
        <v>15757</v>
      </c>
      <c r="K17" s="3" t="s">
        <v>82</v>
      </c>
      <c r="L17" s="4">
        <v>45226</v>
      </c>
    </row>
    <row r="18" spans="1:12">
      <c r="B18" s="1" t="s">
        <v>200</v>
      </c>
      <c r="C18" s="1">
        <v>46715</v>
      </c>
      <c r="D18" s="1">
        <v>213051</v>
      </c>
      <c r="E18" s="1">
        <f>C18+D18</f>
        <v>259766</v>
      </c>
      <c r="G18" s="1" t="s">
        <v>55</v>
      </c>
      <c r="H18" s="1">
        <v>13611</v>
      </c>
      <c r="K18" s="3" t="s">
        <v>197</v>
      </c>
      <c r="L18" s="4">
        <v>26030</v>
      </c>
    </row>
    <row r="19" spans="1:12">
      <c r="G19" s="1" t="s">
        <v>56</v>
      </c>
      <c r="H19" s="1">
        <v>6068</v>
      </c>
    </row>
    <row r="20" spans="1:12">
      <c r="G20" s="1" t="s">
        <v>57</v>
      </c>
      <c r="H20" s="1">
        <v>11663</v>
      </c>
    </row>
    <row r="21" spans="1:12">
      <c r="G21" s="1" t="s">
        <v>58</v>
      </c>
      <c r="H21" s="1">
        <v>9200</v>
      </c>
    </row>
    <row r="22" spans="1:12">
      <c r="G22" s="1" t="s">
        <v>59</v>
      </c>
      <c r="H22" s="1">
        <v>34</v>
      </c>
    </row>
    <row r="26" spans="1:12" ht="15.75">
      <c r="E26" s="46" t="s">
        <v>312</v>
      </c>
    </row>
    <row r="27" spans="1:12">
      <c r="B27" s="3" t="s">
        <v>310</v>
      </c>
      <c r="C27" s="3" t="s">
        <v>26</v>
      </c>
    </row>
    <row r="28" spans="1:12">
      <c r="A28" s="1">
        <v>1</v>
      </c>
      <c r="B28" s="3" t="s">
        <v>49</v>
      </c>
      <c r="C28" s="4">
        <v>342229</v>
      </c>
    </row>
    <row r="29" spans="1:12">
      <c r="A29" s="1">
        <v>2</v>
      </c>
      <c r="B29" s="3" t="s">
        <v>196</v>
      </c>
      <c r="C29" s="4">
        <v>361713</v>
      </c>
    </row>
    <row r="30" spans="1:12">
      <c r="A30" s="1">
        <v>3</v>
      </c>
      <c r="B30" s="3" t="s">
        <v>13</v>
      </c>
      <c r="C30" s="4">
        <v>430031</v>
      </c>
    </row>
    <row r="31" spans="1:12">
      <c r="A31" s="1">
        <v>4</v>
      </c>
      <c r="B31" s="3" t="s">
        <v>199</v>
      </c>
      <c r="C31" s="4">
        <v>438337</v>
      </c>
    </row>
    <row r="32" spans="1:12">
      <c r="A32" s="1">
        <v>5</v>
      </c>
      <c r="B32" s="3" t="s">
        <v>195</v>
      </c>
      <c r="C32" s="4">
        <v>463500</v>
      </c>
    </row>
    <row r="33" spans="1:6">
      <c r="A33" s="1">
        <v>6</v>
      </c>
      <c r="B33" s="3" t="s">
        <v>18</v>
      </c>
      <c r="C33" s="4">
        <v>622186</v>
      </c>
    </row>
    <row r="34" spans="1:6">
      <c r="A34" s="1">
        <v>7</v>
      </c>
      <c r="B34" s="3" t="s">
        <v>16</v>
      </c>
      <c r="C34" s="4">
        <v>982084</v>
      </c>
    </row>
    <row r="35" spans="1:6">
      <c r="A35" s="1">
        <v>8</v>
      </c>
      <c r="B35" s="3" t="s">
        <v>53</v>
      </c>
      <c r="C35" s="4">
        <v>1060080</v>
      </c>
    </row>
    <row r="36" spans="1:6">
      <c r="A36" s="1">
        <v>9</v>
      </c>
      <c r="B36" s="3" t="s">
        <v>21</v>
      </c>
      <c r="C36" s="4">
        <v>1145103</v>
      </c>
    </row>
    <row r="37" spans="1:6">
      <c r="A37" s="1">
        <v>10</v>
      </c>
      <c r="B37" s="3" t="s">
        <v>20</v>
      </c>
      <c r="C37" s="4">
        <v>1991327</v>
      </c>
    </row>
    <row r="38" spans="1:6">
      <c r="B38" s="1" t="s">
        <v>313</v>
      </c>
      <c r="C38" s="5">
        <f>SUM(C28:C37)</f>
        <v>7836590</v>
      </c>
    </row>
    <row r="43" spans="1:6">
      <c r="B43" s="1">
        <v>202</v>
      </c>
      <c r="C43" s="1">
        <v>6929245</v>
      </c>
    </row>
    <row r="44" spans="1:6">
      <c r="B44" s="1">
        <v>201</v>
      </c>
      <c r="C44" s="1">
        <v>3422441</v>
      </c>
      <c r="D44" s="5">
        <f>C43+C44</f>
        <v>10351686</v>
      </c>
      <c r="F44" s="6">
        <f>C37/D44</f>
        <v>0.19236740758944967</v>
      </c>
    </row>
    <row r="45" spans="1:6" ht="14.25" customHeight="1"/>
    <row r="47" spans="1:6">
      <c r="B47" s="1">
        <v>2016</v>
      </c>
      <c r="C47" s="5">
        <v>20054746</v>
      </c>
    </row>
    <row r="48" spans="1:6" ht="14.25" customHeight="1">
      <c r="B48" s="1">
        <v>2022</v>
      </c>
      <c r="C48" s="5">
        <v>38867637</v>
      </c>
      <c r="D48" s="6">
        <f>(C48-C47)/C48</f>
        <v>0.48402456264578164</v>
      </c>
    </row>
    <row r="51" spans="2:4">
      <c r="C51" s="3" t="s">
        <v>310</v>
      </c>
      <c r="D51" s="3" t="s">
        <v>26</v>
      </c>
    </row>
    <row r="52" spans="2:4" ht="12.75">
      <c r="B52" s="78" t="s">
        <v>35</v>
      </c>
      <c r="C52" s="79" t="s">
        <v>12</v>
      </c>
      <c r="D52" s="80">
        <v>162166</v>
      </c>
    </row>
    <row r="53" spans="2:4" ht="12.75">
      <c r="B53" s="78" t="s">
        <v>36</v>
      </c>
      <c r="C53" s="79" t="s">
        <v>20</v>
      </c>
      <c r="D53" s="80">
        <v>172799</v>
      </c>
    </row>
    <row r="54" spans="2:4" ht="12.75">
      <c r="B54" s="78" t="s">
        <v>37</v>
      </c>
      <c r="C54" s="79" t="s">
        <v>201</v>
      </c>
      <c r="D54" s="80">
        <v>198386</v>
      </c>
    </row>
    <row r="55" spans="2:4" ht="12.75">
      <c r="B55" s="78" t="s">
        <v>33</v>
      </c>
      <c r="C55" s="79" t="s">
        <v>200</v>
      </c>
      <c r="D55" s="80">
        <v>209659</v>
      </c>
    </row>
    <row r="56" spans="2:4" ht="12.75">
      <c r="B56" s="78" t="s">
        <v>34</v>
      </c>
      <c r="C56" s="79" t="s">
        <v>197</v>
      </c>
      <c r="D56" s="80">
        <v>261360</v>
      </c>
    </row>
    <row r="57" spans="2:4" ht="12.75">
      <c r="B57" s="78" t="s">
        <v>16</v>
      </c>
      <c r="C57" s="79" t="s">
        <v>16</v>
      </c>
      <c r="D57" s="80">
        <v>279197</v>
      </c>
    </row>
    <row r="58" spans="2:4" ht="12.75">
      <c r="B58" s="78" t="s">
        <v>32</v>
      </c>
      <c r="C58" s="79" t="s">
        <v>196</v>
      </c>
      <c r="D58" s="80">
        <v>294368</v>
      </c>
    </row>
    <row r="59" spans="2:4" ht="12.75">
      <c r="B59" s="78" t="s">
        <v>31</v>
      </c>
      <c r="C59" s="79" t="s">
        <v>13</v>
      </c>
      <c r="D59" s="80">
        <v>357002</v>
      </c>
    </row>
    <row r="60" spans="2:4" ht="12.75">
      <c r="B60" s="78" t="s">
        <v>30</v>
      </c>
      <c r="C60" s="79" t="s">
        <v>199</v>
      </c>
      <c r="D60" s="80">
        <v>374249</v>
      </c>
    </row>
    <row r="61" spans="2:4" ht="12.75">
      <c r="B61" s="78" t="s">
        <v>29</v>
      </c>
      <c r="C61" s="79" t="s">
        <v>21</v>
      </c>
      <c r="D61" s="80">
        <v>406000</v>
      </c>
    </row>
    <row r="62" spans="2:4" ht="12.75">
      <c r="B62" s="82"/>
      <c r="C62" s="83"/>
      <c r="D62" s="84"/>
    </row>
    <row r="63" spans="2:4" ht="12.75">
      <c r="B63" s="82"/>
      <c r="C63" s="83"/>
      <c r="D63" s="84"/>
    </row>
    <row r="64" spans="2:4" ht="12.75">
      <c r="B64" s="82"/>
      <c r="C64" s="83"/>
      <c r="D64" s="84"/>
    </row>
    <row r="65" spans="2:14" ht="12.75">
      <c r="B65" s="82"/>
      <c r="C65" s="83"/>
      <c r="D65" s="84"/>
    </row>
    <row r="66" spans="2:14" ht="12.75">
      <c r="B66" s="82"/>
      <c r="C66" s="83"/>
      <c r="D66" s="84"/>
    </row>
    <row r="68" spans="2:14" ht="15">
      <c r="I68"/>
      <c r="J68" t="s">
        <v>349</v>
      </c>
      <c r="K68"/>
    </row>
    <row r="69" spans="2:14" ht="15">
      <c r="C69" s="81" t="s">
        <v>347</v>
      </c>
      <c r="D69" s="3"/>
      <c r="F69" s="81" t="s">
        <v>348</v>
      </c>
      <c r="G69" s="3"/>
      <c r="I69"/>
    </row>
    <row r="70" spans="2:14" ht="15">
      <c r="C70" s="3" t="s">
        <v>310</v>
      </c>
      <c r="D70" s="3" t="s">
        <v>26</v>
      </c>
      <c r="F70" s="3" t="s">
        <v>310</v>
      </c>
      <c r="G70" s="3" t="s">
        <v>26</v>
      </c>
      <c r="I70"/>
      <c r="J70" s="3" t="s">
        <v>310</v>
      </c>
      <c r="K70" s="3" t="s">
        <v>26</v>
      </c>
      <c r="L70" s="3" t="s">
        <v>350</v>
      </c>
      <c r="N70" s="1" t="s">
        <v>352</v>
      </c>
    </row>
    <row r="71" spans="2:14" ht="15">
      <c r="C71" s="3" t="s">
        <v>20</v>
      </c>
      <c r="D71" s="80">
        <v>1833081</v>
      </c>
      <c r="F71" s="4" t="s">
        <v>29</v>
      </c>
      <c r="G71" s="4">
        <v>406000</v>
      </c>
      <c r="I71"/>
      <c r="J71" t="s">
        <v>197</v>
      </c>
      <c r="K71" s="4">
        <v>261360</v>
      </c>
      <c r="L71" s="4">
        <f>K71/1000</f>
        <v>261.36</v>
      </c>
    </row>
    <row r="72" spans="2:14" ht="15">
      <c r="C72" s="3" t="s">
        <v>53</v>
      </c>
      <c r="D72" s="80">
        <v>1109893</v>
      </c>
      <c r="F72" s="4" t="s">
        <v>30</v>
      </c>
      <c r="G72" s="4">
        <v>374249</v>
      </c>
      <c r="I72"/>
      <c r="J72" t="s">
        <v>13</v>
      </c>
      <c r="K72" s="4">
        <v>357002</v>
      </c>
      <c r="L72" s="4">
        <f t="shared" ref="L72:L80" si="1">K72/1000</f>
        <v>357.00200000000001</v>
      </c>
    </row>
    <row r="73" spans="2:14" ht="15">
      <c r="C73" s="3" t="s">
        <v>16</v>
      </c>
      <c r="D73" s="80">
        <v>944024</v>
      </c>
      <c r="F73" s="4" t="s">
        <v>31</v>
      </c>
      <c r="G73" s="4">
        <v>357002</v>
      </c>
      <c r="I73"/>
      <c r="J73" t="s">
        <v>49</v>
      </c>
      <c r="K73" s="4">
        <v>360681</v>
      </c>
      <c r="L73" s="4">
        <f t="shared" si="1"/>
        <v>360.68099999999998</v>
      </c>
    </row>
    <row r="74" spans="2:14" ht="15">
      <c r="C74" s="3" t="s">
        <v>21</v>
      </c>
      <c r="D74" s="80">
        <v>567906</v>
      </c>
      <c r="F74" s="4" t="s">
        <v>32</v>
      </c>
      <c r="G74" s="4">
        <v>294368</v>
      </c>
      <c r="I74"/>
      <c r="J74" t="s">
        <v>199</v>
      </c>
      <c r="K74" s="4">
        <v>424681</v>
      </c>
      <c r="L74" s="4">
        <f t="shared" si="1"/>
        <v>424.68099999999998</v>
      </c>
    </row>
    <row r="75" spans="2:14" ht="15">
      <c r="C75" s="3" t="s">
        <v>195</v>
      </c>
      <c r="D75" s="80">
        <v>493015</v>
      </c>
      <c r="F75" s="4" t="s">
        <v>16</v>
      </c>
      <c r="G75" s="4">
        <v>279197</v>
      </c>
      <c r="I75"/>
      <c r="J75" t="s">
        <v>351</v>
      </c>
      <c r="K75" s="4">
        <v>493015</v>
      </c>
      <c r="L75" s="4">
        <f t="shared" si="1"/>
        <v>493.01499999999999</v>
      </c>
    </row>
    <row r="76" spans="2:14" ht="15">
      <c r="C76" s="3" t="s">
        <v>18</v>
      </c>
      <c r="D76" s="80">
        <v>580513</v>
      </c>
      <c r="F76" s="4" t="s">
        <v>34</v>
      </c>
      <c r="G76" s="4">
        <v>261360</v>
      </c>
      <c r="I76"/>
      <c r="J76" t="s">
        <v>18</v>
      </c>
      <c r="K76" s="4">
        <v>673410</v>
      </c>
      <c r="L76" s="4">
        <f t="shared" si="1"/>
        <v>673.41</v>
      </c>
    </row>
    <row r="77" spans="2:14" ht="15">
      <c r="C77" s="3" t="s">
        <v>49</v>
      </c>
      <c r="D77" s="80">
        <v>320230</v>
      </c>
      <c r="F77" s="4" t="s">
        <v>33</v>
      </c>
      <c r="G77" s="4">
        <v>209659</v>
      </c>
      <c r="I77"/>
      <c r="J77" t="s">
        <v>21</v>
      </c>
      <c r="K77" s="4">
        <v>973906</v>
      </c>
      <c r="L77" s="4">
        <f t="shared" si="1"/>
        <v>973.90599999999995</v>
      </c>
    </row>
    <row r="78" spans="2:14" ht="15">
      <c r="C78" s="3" t="s">
        <v>38</v>
      </c>
      <c r="D78" s="80">
        <v>176000</v>
      </c>
      <c r="F78" s="4" t="s">
        <v>37</v>
      </c>
      <c r="G78" s="4">
        <v>198386</v>
      </c>
      <c r="I78"/>
      <c r="J78" t="s">
        <v>38</v>
      </c>
      <c r="K78" s="4">
        <v>1109893</v>
      </c>
      <c r="L78" s="4">
        <f t="shared" si="1"/>
        <v>1109.893</v>
      </c>
    </row>
    <row r="79" spans="2:14" ht="15">
      <c r="C79" s="3" t="s">
        <v>196</v>
      </c>
      <c r="D79" s="80">
        <v>105160</v>
      </c>
      <c r="F79" s="4" t="s">
        <v>36</v>
      </c>
      <c r="G79" s="4">
        <v>172799</v>
      </c>
      <c r="I79"/>
      <c r="J79" t="s">
        <v>16</v>
      </c>
      <c r="K79" s="4">
        <v>1223221</v>
      </c>
      <c r="L79" s="4">
        <f t="shared" si="1"/>
        <v>1223.221</v>
      </c>
    </row>
    <row r="80" spans="2:14" ht="15">
      <c r="C80" s="3" t="s">
        <v>13</v>
      </c>
      <c r="D80" s="80">
        <v>66048</v>
      </c>
      <c r="F80" s="4" t="s">
        <v>35</v>
      </c>
      <c r="G80" s="4">
        <v>162166</v>
      </c>
      <c r="I80"/>
      <c r="J80" t="s">
        <v>20</v>
      </c>
      <c r="K80" s="4">
        <v>2005880</v>
      </c>
      <c r="L80" s="4">
        <f t="shared" si="1"/>
        <v>2005.88</v>
      </c>
    </row>
    <row r="81" spans="3:10" ht="15">
      <c r="C81" s="3" t="s">
        <v>197</v>
      </c>
      <c r="D81" s="80">
        <v>119469</v>
      </c>
      <c r="F81" s="4" t="s">
        <v>38</v>
      </c>
      <c r="G81" s="4">
        <v>144475</v>
      </c>
      <c r="I81"/>
    </row>
    <row r="82" spans="3:10" ht="12.75">
      <c r="C82" s="3" t="s">
        <v>48</v>
      </c>
      <c r="D82" s="80">
        <v>54333</v>
      </c>
      <c r="F82" s="4" t="s">
        <v>39</v>
      </c>
      <c r="G82" s="4">
        <v>106290</v>
      </c>
    </row>
    <row r="83" spans="3:10" ht="12.75">
      <c r="C83" s="3" t="s">
        <v>198</v>
      </c>
      <c r="D83" s="80">
        <v>35474</v>
      </c>
      <c r="F83" s="4" t="s">
        <v>18</v>
      </c>
      <c r="G83" s="4">
        <v>92897</v>
      </c>
    </row>
    <row r="84" spans="3:10" ht="12.75">
      <c r="C84" s="3" t="s">
        <v>199</v>
      </c>
      <c r="D84" s="80">
        <v>50432</v>
      </c>
      <c r="F84" s="4" t="s">
        <v>41</v>
      </c>
      <c r="G84" s="4">
        <v>89915</v>
      </c>
    </row>
    <row r="85" spans="3:10" ht="12.75">
      <c r="C85" s="3" t="s">
        <v>82</v>
      </c>
      <c r="D85" s="80">
        <v>23574</v>
      </c>
      <c r="F85" s="4" t="s">
        <v>47</v>
      </c>
      <c r="G85" s="4">
        <v>88023</v>
      </c>
    </row>
    <row r="86" spans="3:10" ht="12.75">
      <c r="C86" s="3" t="s">
        <v>200</v>
      </c>
      <c r="D86" s="80">
        <v>46937</v>
      </c>
      <c r="F86" s="4" t="s">
        <v>40</v>
      </c>
      <c r="G86" s="4">
        <v>77536</v>
      </c>
    </row>
    <row r="87" spans="3:10" ht="12.75">
      <c r="C87" s="3" t="s">
        <v>201</v>
      </c>
      <c r="D87" s="80">
        <v>42199</v>
      </c>
      <c r="F87" s="4" t="s">
        <v>42</v>
      </c>
      <c r="G87" s="4">
        <v>73433</v>
      </c>
    </row>
    <row r="88" spans="3:10" ht="12.75">
      <c r="C88" s="3" t="s">
        <v>202</v>
      </c>
      <c r="D88" s="80">
        <v>37456</v>
      </c>
      <c r="F88" s="4" t="s">
        <v>48</v>
      </c>
      <c r="G88" s="4">
        <v>61333</v>
      </c>
    </row>
    <row r="89" spans="3:10" ht="12.75">
      <c r="C89" s="3" t="s">
        <v>203</v>
      </c>
      <c r="D89" s="80">
        <v>30212</v>
      </c>
      <c r="F89" s="4" t="s">
        <v>46</v>
      </c>
      <c r="G89" s="4">
        <v>50690</v>
      </c>
    </row>
    <row r="90" spans="3:10" ht="15">
      <c r="C90" s="3" t="s">
        <v>41</v>
      </c>
      <c r="D90" s="80">
        <v>30328</v>
      </c>
      <c r="F90" s="3" t="s">
        <v>49</v>
      </c>
      <c r="G90" s="4">
        <v>40451</v>
      </c>
      <c r="J90" t="s">
        <v>197</v>
      </c>
    </row>
    <row r="91" spans="3:10" ht="15">
      <c r="C91" s="3" t="s">
        <v>205</v>
      </c>
      <c r="D91" s="80">
        <v>21081</v>
      </c>
      <c r="J91" t="s">
        <v>13</v>
      </c>
    </row>
    <row r="92" spans="3:10" ht="15">
      <c r="J92" t="s">
        <v>49</v>
      </c>
    </row>
    <row r="93" spans="3:10" ht="15">
      <c r="J93" t="s">
        <v>199</v>
      </c>
    </row>
    <row r="94" spans="3:10" ht="15">
      <c r="J94" t="s">
        <v>351</v>
      </c>
    </row>
    <row r="95" spans="3:10" ht="15">
      <c r="J95" t="s">
        <v>18</v>
      </c>
    </row>
    <row r="96" spans="3:10" ht="15">
      <c r="J96" t="s">
        <v>21</v>
      </c>
    </row>
    <row r="97" spans="10:10" ht="15">
      <c r="J97" t="s">
        <v>38</v>
      </c>
    </row>
    <row r="98" spans="10:10" ht="15">
      <c r="J98" t="s">
        <v>16</v>
      </c>
    </row>
    <row r="99" spans="10:10" ht="15">
      <c r="J99" t="s">
        <v>20</v>
      </c>
    </row>
  </sheetData>
  <sortState xmlns:xlrd2="http://schemas.microsoft.com/office/spreadsheetml/2017/richdata2" ref="J71:K80">
    <sortCondition ref="K71:K80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8260-4478-4155-9FA1-B94650F43C5A}">
  <dimension ref="A2:M10"/>
  <sheetViews>
    <sheetView zoomScale="70" zoomScaleNormal="70" workbookViewId="0">
      <selection activeCell="D34" sqref="D34"/>
    </sheetView>
  </sheetViews>
  <sheetFormatPr baseColWidth="10" defaultRowHeight="14.25"/>
  <cols>
    <col min="1" max="1" width="11.42578125" style="51"/>
    <col min="2" max="16384" width="11.42578125" style="27"/>
  </cols>
  <sheetData>
    <row r="2" spans="1:13" ht="15.75">
      <c r="A2" s="182" t="s">
        <v>314</v>
      </c>
      <c r="B2" s="47" t="s">
        <v>315</v>
      </c>
      <c r="C2" s="47">
        <v>2016</v>
      </c>
      <c r="D2" s="47">
        <v>2017</v>
      </c>
      <c r="E2" s="47">
        <v>2018</v>
      </c>
      <c r="F2" s="48">
        <v>2019</v>
      </c>
      <c r="G2" s="48">
        <v>2020</v>
      </c>
      <c r="H2" s="48">
        <v>2021</v>
      </c>
      <c r="I2" s="48">
        <v>2022</v>
      </c>
      <c r="J2" s="48">
        <v>2023</v>
      </c>
      <c r="M2" s="117" t="s">
        <v>410</v>
      </c>
    </row>
    <row r="3" spans="1:13" ht="15">
      <c r="A3" s="182"/>
      <c r="B3" s="47" t="s">
        <v>193</v>
      </c>
      <c r="C3" s="49">
        <v>509825</v>
      </c>
      <c r="D3" s="49">
        <v>532030</v>
      </c>
      <c r="E3" s="49">
        <v>514891</v>
      </c>
      <c r="F3" s="49">
        <v>508788</v>
      </c>
      <c r="G3" s="49">
        <v>495875</v>
      </c>
      <c r="H3" s="49">
        <v>457507</v>
      </c>
      <c r="I3" s="49">
        <v>480683</v>
      </c>
      <c r="J3" s="49">
        <v>518516</v>
      </c>
    </row>
    <row r="4" spans="1:13" ht="15">
      <c r="A4" s="182" t="s">
        <v>316</v>
      </c>
      <c r="B4" s="47" t="s">
        <v>315</v>
      </c>
      <c r="C4" s="47"/>
      <c r="D4" s="47"/>
      <c r="E4" s="47"/>
      <c r="F4" s="48">
        <v>2019</v>
      </c>
      <c r="G4" s="48">
        <v>2020</v>
      </c>
      <c r="H4" s="48">
        <v>2021</v>
      </c>
      <c r="I4" s="48">
        <v>2022</v>
      </c>
      <c r="J4" s="48">
        <v>2023</v>
      </c>
    </row>
    <row r="5" spans="1:13" ht="15">
      <c r="A5" s="182"/>
      <c r="B5" s="47" t="s">
        <v>193</v>
      </c>
      <c r="C5" s="50">
        <v>870224</v>
      </c>
      <c r="D5" s="50">
        <v>848957</v>
      </c>
      <c r="E5" s="50">
        <v>1001377</v>
      </c>
      <c r="F5" s="49">
        <v>930866</v>
      </c>
      <c r="G5" s="49">
        <v>851352</v>
      </c>
      <c r="H5" s="49">
        <v>887342</v>
      </c>
      <c r="I5" s="49">
        <v>879471</v>
      </c>
      <c r="J5" s="49">
        <v>841758</v>
      </c>
    </row>
    <row r="6" spans="1:13" ht="15">
      <c r="A6" s="182" t="s">
        <v>317</v>
      </c>
      <c r="B6" s="47" t="s">
        <v>315</v>
      </c>
      <c r="C6" s="47">
        <v>2016</v>
      </c>
      <c r="D6" s="47">
        <v>2017</v>
      </c>
      <c r="E6" s="47">
        <v>2018</v>
      </c>
      <c r="F6" s="48">
        <v>2019</v>
      </c>
      <c r="G6" s="48">
        <v>2020</v>
      </c>
      <c r="H6" s="48">
        <v>2021</v>
      </c>
      <c r="I6" s="48">
        <v>2022</v>
      </c>
      <c r="J6" s="48">
        <v>2023</v>
      </c>
    </row>
    <row r="7" spans="1:13" ht="15">
      <c r="A7" s="182"/>
      <c r="B7" s="47" t="s">
        <v>193</v>
      </c>
      <c r="C7" s="49">
        <v>1794148</v>
      </c>
      <c r="D7" s="49">
        <v>1836201</v>
      </c>
      <c r="E7" s="49">
        <v>2376108</v>
      </c>
      <c r="F7" s="49">
        <v>2457203</v>
      </c>
      <c r="G7" s="49">
        <v>2391690</v>
      </c>
      <c r="H7" s="49">
        <v>2497877</v>
      </c>
      <c r="I7" s="49">
        <v>2378565</v>
      </c>
      <c r="J7" s="49">
        <v>2414507</v>
      </c>
    </row>
    <row r="9" spans="1:13" ht="15">
      <c r="A9" s="183" t="s">
        <v>308</v>
      </c>
      <c r="B9" s="47" t="s">
        <v>318</v>
      </c>
      <c r="C9" s="47">
        <v>2016</v>
      </c>
      <c r="D9" s="47">
        <v>2017</v>
      </c>
      <c r="E9" s="47">
        <v>2018</v>
      </c>
      <c r="F9" s="48">
        <v>2019</v>
      </c>
      <c r="G9" s="48">
        <v>2020</v>
      </c>
      <c r="H9" s="48">
        <v>2021</v>
      </c>
      <c r="I9" s="48">
        <v>2022</v>
      </c>
      <c r="J9" s="48">
        <v>2023</v>
      </c>
      <c r="K9" s="48">
        <v>2024</v>
      </c>
    </row>
    <row r="10" spans="1:13" ht="15">
      <c r="A10" s="183"/>
      <c r="B10" s="47" t="s">
        <v>193</v>
      </c>
      <c r="C10" s="50">
        <f>+C3+C5+C7</f>
        <v>3174197</v>
      </c>
      <c r="D10" s="50">
        <f t="shared" ref="D10:E10" si="0">+D3+D5+D7</f>
        <v>3217188</v>
      </c>
      <c r="E10" s="50">
        <f t="shared" si="0"/>
        <v>3892376</v>
      </c>
      <c r="F10" s="50">
        <f>+F3+F5+F7</f>
        <v>3896857</v>
      </c>
      <c r="G10" s="50">
        <f t="shared" ref="G10:J10" si="1">+G3+G5+G7</f>
        <v>3738917</v>
      </c>
      <c r="H10" s="50">
        <f t="shared" si="1"/>
        <v>3842726</v>
      </c>
      <c r="I10" s="50">
        <f t="shared" si="1"/>
        <v>3738719</v>
      </c>
      <c r="J10" s="50">
        <f t="shared" si="1"/>
        <v>3774781</v>
      </c>
      <c r="K10" s="50">
        <v>2865395.0140000018</v>
      </c>
    </row>
  </sheetData>
  <mergeCells count="4">
    <mergeCell ref="A2:A3"/>
    <mergeCell ref="A4:A5"/>
    <mergeCell ref="A6:A7"/>
    <mergeCell ref="A9:A1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B6B1-8B26-49A4-A917-EB1A0F251CD4}">
  <dimension ref="A1:U161"/>
  <sheetViews>
    <sheetView zoomScale="85" zoomScaleNormal="85" workbookViewId="0">
      <selection activeCell="T8" sqref="T8"/>
    </sheetView>
  </sheetViews>
  <sheetFormatPr baseColWidth="10" defaultRowHeight="14.25"/>
  <cols>
    <col min="1" max="1" width="25.85546875" style="27" bestFit="1" customWidth="1"/>
    <col min="2" max="7" width="9.42578125" style="27" hidden="1" customWidth="1"/>
    <col min="8" max="9" width="9.42578125" style="27" bestFit="1" customWidth="1"/>
    <col min="10" max="10" width="8.7109375" style="27" bestFit="1" customWidth="1"/>
    <col min="11" max="16384" width="11.42578125" style="27"/>
  </cols>
  <sheetData>
    <row r="1" spans="1:21">
      <c r="A1" s="25" t="s">
        <v>27</v>
      </c>
      <c r="B1" s="26">
        <v>2016</v>
      </c>
      <c r="C1" s="26">
        <v>2017</v>
      </c>
      <c r="D1" s="26">
        <v>2018</v>
      </c>
      <c r="E1" s="26">
        <v>2019</v>
      </c>
      <c r="F1" s="26">
        <v>2020</v>
      </c>
      <c r="G1" s="26">
        <v>2021</v>
      </c>
      <c r="H1" s="26">
        <v>2022</v>
      </c>
      <c r="I1" s="26">
        <v>2023</v>
      </c>
      <c r="J1" s="26" t="s">
        <v>26</v>
      </c>
      <c r="N1" s="27">
        <v>2016</v>
      </c>
      <c r="O1" s="27">
        <v>2017</v>
      </c>
      <c r="P1" s="27">
        <v>2018</v>
      </c>
      <c r="Q1" s="27">
        <v>2019</v>
      </c>
      <c r="R1" s="27">
        <v>2020</v>
      </c>
      <c r="S1" s="27">
        <v>2021</v>
      </c>
      <c r="T1" s="27">
        <v>2022</v>
      </c>
    </row>
    <row r="2" spans="1:21">
      <c r="A2" s="4" t="s">
        <v>28</v>
      </c>
      <c r="B2" s="4">
        <v>3808233</v>
      </c>
      <c r="C2" s="4">
        <v>3883699</v>
      </c>
      <c r="D2" s="4">
        <v>4037992</v>
      </c>
      <c r="E2" s="4">
        <v>3829973</v>
      </c>
      <c r="F2" s="4">
        <v>3690951</v>
      </c>
      <c r="G2" s="4">
        <v>3591175</v>
      </c>
      <c r="H2" s="4">
        <v>3422441</v>
      </c>
      <c r="I2" s="4">
        <v>3756598</v>
      </c>
      <c r="J2" s="4">
        <f t="shared" ref="J2:J33" si="0">SUM(B2:I2)</f>
        <v>30021062</v>
      </c>
      <c r="N2" s="28">
        <v>3808233</v>
      </c>
      <c r="O2" s="28">
        <v>3883699</v>
      </c>
      <c r="P2" s="28">
        <v>4037992</v>
      </c>
      <c r="Q2" s="28">
        <v>3829973</v>
      </c>
      <c r="R2" s="28">
        <v>3690951</v>
      </c>
      <c r="S2" s="28">
        <v>3591175</v>
      </c>
      <c r="T2" s="28">
        <v>3422441</v>
      </c>
    </row>
    <row r="3" spans="1:21" ht="15">
      <c r="A3" s="4" t="s">
        <v>29</v>
      </c>
      <c r="B3" s="4">
        <v>355379</v>
      </c>
      <c r="C3" s="4">
        <v>439456</v>
      </c>
      <c r="D3" s="4">
        <v>454386</v>
      </c>
      <c r="E3" s="4">
        <v>428629</v>
      </c>
      <c r="F3" s="4">
        <v>428887</v>
      </c>
      <c r="G3" s="4">
        <v>477903</v>
      </c>
      <c r="H3" s="4">
        <v>425724</v>
      </c>
      <c r="I3" s="4">
        <v>406000</v>
      </c>
      <c r="J3" s="4">
        <f t="shared" si="0"/>
        <v>3416364</v>
      </c>
      <c r="N3" s="29">
        <f>(T2-N2)/N2</f>
        <v>-0.10130472584004183</v>
      </c>
    </row>
    <row r="4" spans="1:21">
      <c r="A4" s="4" t="s">
        <v>30</v>
      </c>
      <c r="B4" s="4">
        <v>396856</v>
      </c>
      <c r="C4" s="4">
        <v>394039</v>
      </c>
      <c r="D4" s="4">
        <v>401185</v>
      </c>
      <c r="E4" s="4">
        <v>405021</v>
      </c>
      <c r="F4" s="4">
        <v>374301</v>
      </c>
      <c r="G4" s="4">
        <v>381173</v>
      </c>
      <c r="H4" s="4">
        <v>376657</v>
      </c>
      <c r="I4" s="4">
        <v>374249</v>
      </c>
      <c r="J4" s="4">
        <f t="shared" si="0"/>
        <v>3103481</v>
      </c>
    </row>
    <row r="5" spans="1:21">
      <c r="A5" s="4" t="s">
        <v>31</v>
      </c>
      <c r="B5" s="4">
        <v>247026</v>
      </c>
      <c r="C5" s="4">
        <v>258783</v>
      </c>
      <c r="D5" s="4">
        <v>280787</v>
      </c>
      <c r="E5" s="4">
        <v>308073</v>
      </c>
      <c r="F5" s="4">
        <v>296560</v>
      </c>
      <c r="G5" s="4">
        <v>332908</v>
      </c>
      <c r="H5" s="4">
        <v>335926</v>
      </c>
      <c r="I5" s="4">
        <v>357002</v>
      </c>
      <c r="J5" s="4">
        <f t="shared" si="0"/>
        <v>2417065</v>
      </c>
    </row>
    <row r="6" spans="1:21" ht="15.75">
      <c r="A6" s="4" t="s">
        <v>16</v>
      </c>
      <c r="B6" s="4">
        <v>281587</v>
      </c>
      <c r="C6" s="4">
        <v>280864</v>
      </c>
      <c r="D6" s="4">
        <v>305395</v>
      </c>
      <c r="E6" s="4">
        <v>313639</v>
      </c>
      <c r="F6" s="4">
        <v>306920</v>
      </c>
      <c r="G6" s="4">
        <v>278993</v>
      </c>
      <c r="H6" s="4">
        <v>229914</v>
      </c>
      <c r="I6" s="4">
        <v>279197</v>
      </c>
      <c r="J6" s="4">
        <f t="shared" si="0"/>
        <v>2276509</v>
      </c>
      <c r="T6" s="30">
        <v>21218</v>
      </c>
    </row>
    <row r="7" spans="1:21" ht="15.75">
      <c r="A7" s="4" t="s">
        <v>32</v>
      </c>
      <c r="B7" s="4">
        <v>278610</v>
      </c>
      <c r="C7" s="4">
        <v>294702</v>
      </c>
      <c r="D7" s="4">
        <v>302048</v>
      </c>
      <c r="E7" s="4">
        <v>273146</v>
      </c>
      <c r="F7" s="4">
        <v>270618</v>
      </c>
      <c r="G7" s="4">
        <v>265526</v>
      </c>
      <c r="H7" s="4">
        <v>253731</v>
      </c>
      <c r="I7" s="4">
        <v>294368</v>
      </c>
      <c r="J7" s="4">
        <f t="shared" si="0"/>
        <v>2232749</v>
      </c>
      <c r="T7" s="30">
        <v>29616</v>
      </c>
      <c r="U7" s="29">
        <f>(T7-T6)/T6</f>
        <v>0.39579602224526345</v>
      </c>
    </row>
    <row r="8" spans="1:21">
      <c r="A8" s="4" t="s">
        <v>33</v>
      </c>
      <c r="B8" s="4">
        <v>264188</v>
      </c>
      <c r="C8" s="4">
        <v>241625</v>
      </c>
      <c r="D8" s="4">
        <v>225407</v>
      </c>
      <c r="E8" s="4">
        <v>228181</v>
      </c>
      <c r="F8" s="4">
        <v>201554</v>
      </c>
      <c r="G8" s="4">
        <v>211139</v>
      </c>
      <c r="H8" s="4">
        <v>213051</v>
      </c>
      <c r="I8" s="4">
        <v>209659</v>
      </c>
      <c r="J8" s="4">
        <f t="shared" si="0"/>
        <v>1794804</v>
      </c>
    </row>
    <row r="9" spans="1:21">
      <c r="A9" s="4" t="s">
        <v>34</v>
      </c>
      <c r="B9" s="4">
        <v>286359</v>
      </c>
      <c r="C9" s="4">
        <v>300114</v>
      </c>
      <c r="D9" s="4">
        <v>299559</v>
      </c>
      <c r="E9" s="4">
        <v>291502</v>
      </c>
      <c r="F9" s="4">
        <v>282390</v>
      </c>
      <c r="G9" s="4">
        <v>21880</v>
      </c>
      <c r="H9" s="4">
        <v>26030</v>
      </c>
      <c r="I9" s="4">
        <v>261360</v>
      </c>
      <c r="J9" s="4">
        <f t="shared" si="0"/>
        <v>1769194</v>
      </c>
    </row>
    <row r="10" spans="1:21">
      <c r="A10" s="4" t="s">
        <v>35</v>
      </c>
      <c r="B10" s="4">
        <v>186960</v>
      </c>
      <c r="C10" s="4">
        <v>188069</v>
      </c>
      <c r="D10" s="4">
        <v>192470</v>
      </c>
      <c r="E10" s="4">
        <v>184141</v>
      </c>
      <c r="F10" s="4">
        <v>174430</v>
      </c>
      <c r="G10" s="4">
        <v>182594</v>
      </c>
      <c r="H10" s="4">
        <v>180379</v>
      </c>
      <c r="I10" s="4">
        <v>162166</v>
      </c>
      <c r="J10" s="4">
        <f t="shared" si="0"/>
        <v>1451209</v>
      </c>
    </row>
    <row r="11" spans="1:21">
      <c r="A11" s="4" t="s">
        <v>36</v>
      </c>
      <c r="B11" s="4">
        <v>137650</v>
      </c>
      <c r="C11" s="4">
        <v>125088</v>
      </c>
      <c r="D11" s="4">
        <v>190132</v>
      </c>
      <c r="E11" s="4">
        <v>196393</v>
      </c>
      <c r="F11" s="4">
        <v>165902</v>
      </c>
      <c r="G11" s="4">
        <v>177686</v>
      </c>
      <c r="H11" s="4">
        <v>142072</v>
      </c>
      <c r="I11" s="4">
        <v>172799</v>
      </c>
      <c r="J11" s="4">
        <f t="shared" si="0"/>
        <v>1307722</v>
      </c>
    </row>
    <row r="12" spans="1:21">
      <c r="A12" s="4" t="s">
        <v>37</v>
      </c>
      <c r="B12" s="4">
        <v>131959</v>
      </c>
      <c r="C12" s="4">
        <v>131717</v>
      </c>
      <c r="D12" s="4">
        <v>129260</v>
      </c>
      <c r="E12" s="4">
        <v>148779</v>
      </c>
      <c r="F12" s="4">
        <v>158187</v>
      </c>
      <c r="G12" s="4">
        <v>158447</v>
      </c>
      <c r="H12" s="4">
        <v>175075</v>
      </c>
      <c r="I12" s="4">
        <v>198386</v>
      </c>
      <c r="J12" s="4">
        <f t="shared" si="0"/>
        <v>1231810</v>
      </c>
    </row>
    <row r="13" spans="1:21">
      <c r="A13" s="4" t="s">
        <v>38</v>
      </c>
      <c r="B13" s="4">
        <v>111395</v>
      </c>
      <c r="C13" s="4">
        <v>115139</v>
      </c>
      <c r="D13" s="4">
        <v>89929</v>
      </c>
      <c r="E13" s="4">
        <v>99048</v>
      </c>
      <c r="F13" s="4">
        <v>114917</v>
      </c>
      <c r="G13" s="4">
        <v>143750</v>
      </c>
      <c r="H13" s="4">
        <v>154551</v>
      </c>
      <c r="I13" s="4">
        <v>144475</v>
      </c>
      <c r="J13" s="4">
        <f t="shared" si="0"/>
        <v>973204</v>
      </c>
    </row>
    <row r="14" spans="1:21">
      <c r="A14" s="4" t="s">
        <v>39</v>
      </c>
      <c r="B14" s="4">
        <v>127480</v>
      </c>
      <c r="C14" s="4">
        <v>137664</v>
      </c>
      <c r="D14" s="4">
        <v>137107</v>
      </c>
      <c r="E14" s="4">
        <v>114203</v>
      </c>
      <c r="F14" s="4">
        <v>107085</v>
      </c>
      <c r="G14" s="4">
        <v>115320</v>
      </c>
      <c r="H14" s="4">
        <v>107637</v>
      </c>
      <c r="I14" s="4">
        <v>106290</v>
      </c>
      <c r="J14" s="4">
        <f t="shared" si="0"/>
        <v>952786</v>
      </c>
    </row>
    <row r="15" spans="1:21">
      <c r="A15" s="4" t="s">
        <v>18</v>
      </c>
      <c r="B15" s="4">
        <v>63054</v>
      </c>
      <c r="C15" s="4">
        <v>70848</v>
      </c>
      <c r="D15" s="4">
        <v>87416</v>
      </c>
      <c r="E15" s="4">
        <v>90270</v>
      </c>
      <c r="F15" s="4">
        <v>88120</v>
      </c>
      <c r="G15" s="4">
        <v>93135</v>
      </c>
      <c r="H15" s="4">
        <v>89038</v>
      </c>
      <c r="I15" s="4">
        <v>92897</v>
      </c>
      <c r="J15" s="4">
        <f t="shared" si="0"/>
        <v>674778</v>
      </c>
    </row>
    <row r="16" spans="1:21">
      <c r="A16" s="4" t="s">
        <v>40</v>
      </c>
      <c r="B16" s="4">
        <v>88004</v>
      </c>
      <c r="C16" s="4">
        <v>81884</v>
      </c>
      <c r="D16" s="4">
        <v>80099</v>
      </c>
      <c r="E16" s="4">
        <v>80829</v>
      </c>
      <c r="F16" s="4">
        <v>77980</v>
      </c>
      <c r="G16" s="4">
        <v>85688</v>
      </c>
      <c r="H16" s="4">
        <v>81863</v>
      </c>
      <c r="I16" s="4">
        <v>77536</v>
      </c>
      <c r="J16" s="4">
        <f t="shared" si="0"/>
        <v>653883</v>
      </c>
    </row>
    <row r="17" spans="1:10">
      <c r="A17" s="4" t="s">
        <v>41</v>
      </c>
      <c r="B17" s="4">
        <v>83029</v>
      </c>
      <c r="C17" s="4">
        <v>82487</v>
      </c>
      <c r="D17" s="4">
        <v>80949</v>
      </c>
      <c r="E17" s="4">
        <v>77308</v>
      </c>
      <c r="F17" s="4">
        <v>74180</v>
      </c>
      <c r="G17" s="4">
        <v>76547</v>
      </c>
      <c r="H17" s="4">
        <v>79966</v>
      </c>
      <c r="I17" s="4">
        <v>89915</v>
      </c>
      <c r="J17" s="4">
        <f t="shared" si="0"/>
        <v>644381</v>
      </c>
    </row>
    <row r="18" spans="1:10">
      <c r="A18" s="4" t="s">
        <v>42</v>
      </c>
      <c r="B18" s="4">
        <v>82572</v>
      </c>
      <c r="C18" s="4">
        <v>78594</v>
      </c>
      <c r="D18" s="4">
        <v>83361</v>
      </c>
      <c r="E18" s="4">
        <v>99397</v>
      </c>
      <c r="F18" s="4">
        <v>75729</v>
      </c>
      <c r="G18" s="4">
        <v>60854</v>
      </c>
      <c r="H18" s="4">
        <v>83686</v>
      </c>
      <c r="I18" s="4">
        <v>73433</v>
      </c>
      <c r="J18" s="4">
        <f t="shared" si="0"/>
        <v>637626</v>
      </c>
    </row>
    <row r="19" spans="1:10">
      <c r="A19" s="4" t="s">
        <v>43</v>
      </c>
      <c r="B19" s="4">
        <v>103983</v>
      </c>
      <c r="C19" s="4">
        <v>98166</v>
      </c>
      <c r="D19" s="4">
        <v>105692</v>
      </c>
      <c r="E19" s="4">
        <v>83594</v>
      </c>
      <c r="F19" s="4">
        <v>84925</v>
      </c>
      <c r="G19" s="4">
        <v>76664</v>
      </c>
      <c r="H19" s="4">
        <v>23096</v>
      </c>
      <c r="I19" s="4">
        <v>4724</v>
      </c>
      <c r="J19" s="4">
        <f t="shared" si="0"/>
        <v>580844</v>
      </c>
    </row>
    <row r="20" spans="1:10">
      <c r="A20" s="4" t="s">
        <v>44</v>
      </c>
      <c r="B20" s="4">
        <v>156746</v>
      </c>
      <c r="C20" s="4">
        <v>166646</v>
      </c>
      <c r="D20" s="4">
        <v>180866</v>
      </c>
      <c r="E20" s="4" t="s">
        <v>45</v>
      </c>
      <c r="F20" s="4" t="s">
        <v>45</v>
      </c>
      <c r="G20" s="4" t="s">
        <v>45</v>
      </c>
      <c r="H20" s="4" t="s">
        <v>45</v>
      </c>
      <c r="I20" s="4" t="s">
        <v>45</v>
      </c>
      <c r="J20" s="4">
        <f t="shared" si="0"/>
        <v>504258</v>
      </c>
    </row>
    <row r="21" spans="1:10">
      <c r="A21" s="4" t="s">
        <v>46</v>
      </c>
      <c r="B21" s="4">
        <v>64513</v>
      </c>
      <c r="C21" s="4">
        <v>63402</v>
      </c>
      <c r="D21" s="4">
        <v>68313</v>
      </c>
      <c r="E21" s="4">
        <v>59174</v>
      </c>
      <c r="F21" s="4">
        <v>53674</v>
      </c>
      <c r="G21" s="4">
        <v>55795</v>
      </c>
      <c r="H21" s="4">
        <v>54281</v>
      </c>
      <c r="I21" s="4">
        <v>50690</v>
      </c>
      <c r="J21" s="4">
        <f t="shared" si="0"/>
        <v>469842</v>
      </c>
    </row>
    <row r="22" spans="1:10">
      <c r="A22" s="4" t="s">
        <v>47</v>
      </c>
      <c r="B22" s="4">
        <v>38694</v>
      </c>
      <c r="C22" s="4">
        <v>29112</v>
      </c>
      <c r="D22" s="4">
        <v>41105</v>
      </c>
      <c r="E22" s="4">
        <v>54558</v>
      </c>
      <c r="F22" s="4">
        <v>62732</v>
      </c>
      <c r="G22" s="4">
        <v>64692</v>
      </c>
      <c r="H22" s="4">
        <v>71260</v>
      </c>
      <c r="I22" s="4">
        <v>88023</v>
      </c>
      <c r="J22" s="4">
        <f t="shared" si="0"/>
        <v>450176</v>
      </c>
    </row>
    <row r="23" spans="1:10">
      <c r="A23" s="4" t="s">
        <v>48</v>
      </c>
      <c r="B23" s="4">
        <v>38145</v>
      </c>
      <c r="C23" s="4">
        <v>46985</v>
      </c>
      <c r="D23" s="4">
        <v>47737</v>
      </c>
      <c r="E23" s="4">
        <v>51328</v>
      </c>
      <c r="F23" s="4">
        <v>57501</v>
      </c>
      <c r="G23" s="4">
        <v>64054</v>
      </c>
      <c r="H23" s="4">
        <v>59831</v>
      </c>
      <c r="I23" s="4">
        <v>61333</v>
      </c>
      <c r="J23" s="4">
        <f t="shared" si="0"/>
        <v>426914</v>
      </c>
    </row>
    <row r="24" spans="1:10">
      <c r="A24" s="4" t="s">
        <v>49</v>
      </c>
      <c r="B24" s="4">
        <v>42310</v>
      </c>
      <c r="C24" s="4">
        <v>42702</v>
      </c>
      <c r="D24" s="4">
        <v>39463</v>
      </c>
      <c r="E24" s="4">
        <v>36236</v>
      </c>
      <c r="F24" s="4">
        <v>32740</v>
      </c>
      <c r="G24" s="4">
        <v>42963</v>
      </c>
      <c r="H24" s="4">
        <v>39182</v>
      </c>
      <c r="I24" s="4">
        <v>40451</v>
      </c>
      <c r="J24" s="4">
        <f t="shared" si="0"/>
        <v>316047</v>
      </c>
    </row>
    <row r="25" spans="1:10">
      <c r="A25" s="4" t="s">
        <v>50</v>
      </c>
      <c r="B25" s="4">
        <v>29085</v>
      </c>
      <c r="C25" s="4">
        <v>27553</v>
      </c>
      <c r="D25" s="4">
        <v>31347</v>
      </c>
      <c r="E25" s="4">
        <v>37267</v>
      </c>
      <c r="F25" s="4">
        <v>37535</v>
      </c>
      <c r="G25" s="4">
        <v>41011</v>
      </c>
      <c r="H25" s="4">
        <v>38072</v>
      </c>
      <c r="I25" s="4">
        <v>35683</v>
      </c>
      <c r="J25" s="4">
        <f t="shared" si="0"/>
        <v>277553</v>
      </c>
    </row>
    <row r="26" spans="1:10">
      <c r="A26" s="4" t="s">
        <v>51</v>
      </c>
      <c r="B26" s="4">
        <v>21335</v>
      </c>
      <c r="C26" s="4">
        <v>20953</v>
      </c>
      <c r="D26" s="4">
        <v>20320</v>
      </c>
      <c r="E26" s="4">
        <v>20786</v>
      </c>
      <c r="F26" s="4">
        <v>19146</v>
      </c>
      <c r="G26" s="4">
        <v>20718</v>
      </c>
      <c r="H26" s="4">
        <v>21456</v>
      </c>
      <c r="I26" s="4">
        <v>20409</v>
      </c>
      <c r="J26" s="4">
        <f t="shared" si="0"/>
        <v>165123</v>
      </c>
    </row>
    <row r="27" spans="1:10">
      <c r="A27" s="4" t="s">
        <v>52</v>
      </c>
      <c r="B27" s="4">
        <v>21067</v>
      </c>
      <c r="C27" s="4">
        <v>18074</v>
      </c>
      <c r="D27" s="4">
        <v>14045</v>
      </c>
      <c r="E27" s="4">
        <v>12600</v>
      </c>
      <c r="F27" s="4">
        <v>16587</v>
      </c>
      <c r="G27" s="4">
        <v>15119</v>
      </c>
      <c r="H27" s="4">
        <v>15477</v>
      </c>
      <c r="I27" s="4">
        <v>18340</v>
      </c>
      <c r="J27" s="4">
        <f t="shared" si="0"/>
        <v>131309</v>
      </c>
    </row>
    <row r="28" spans="1:10">
      <c r="A28" s="4" t="s">
        <v>53</v>
      </c>
      <c r="B28" s="4">
        <v>12897</v>
      </c>
      <c r="C28" s="4">
        <v>12867</v>
      </c>
      <c r="D28" s="4">
        <v>11907</v>
      </c>
      <c r="E28" s="4">
        <v>11409</v>
      </c>
      <c r="F28" s="4">
        <v>8688</v>
      </c>
      <c r="G28" s="4">
        <v>16873</v>
      </c>
      <c r="H28" s="4">
        <v>23713</v>
      </c>
      <c r="I28" s="4">
        <v>30270</v>
      </c>
      <c r="J28" s="4">
        <f t="shared" si="0"/>
        <v>128624</v>
      </c>
    </row>
    <row r="29" spans="1:10">
      <c r="A29" s="4" t="s">
        <v>54</v>
      </c>
      <c r="B29" s="4">
        <v>9288</v>
      </c>
      <c r="C29" s="4">
        <v>9555</v>
      </c>
      <c r="D29" s="4">
        <v>13731</v>
      </c>
      <c r="E29" s="4">
        <v>11807</v>
      </c>
      <c r="F29" s="4">
        <v>12504</v>
      </c>
      <c r="G29" s="4">
        <v>14539</v>
      </c>
      <c r="H29" s="4">
        <v>15757</v>
      </c>
      <c r="I29" s="4">
        <v>15371</v>
      </c>
      <c r="J29" s="4">
        <f t="shared" si="0"/>
        <v>102552</v>
      </c>
    </row>
    <row r="30" spans="1:10">
      <c r="A30" s="4" t="s">
        <v>55</v>
      </c>
      <c r="B30" s="4">
        <v>10233</v>
      </c>
      <c r="C30" s="4">
        <v>8877</v>
      </c>
      <c r="D30" s="4">
        <v>10443</v>
      </c>
      <c r="E30" s="4">
        <v>11820</v>
      </c>
      <c r="F30" s="4">
        <v>13134</v>
      </c>
      <c r="G30" s="4">
        <v>11949</v>
      </c>
      <c r="H30" s="4">
        <v>13611</v>
      </c>
      <c r="I30" s="4">
        <v>16389</v>
      </c>
      <c r="J30" s="4">
        <f t="shared" si="0"/>
        <v>96456</v>
      </c>
    </row>
    <row r="31" spans="1:10">
      <c r="A31" s="4" t="s">
        <v>56</v>
      </c>
      <c r="B31" s="4">
        <v>31860</v>
      </c>
      <c r="C31" s="4">
        <v>10596</v>
      </c>
      <c r="D31" s="4">
        <v>8378</v>
      </c>
      <c r="E31" s="4">
        <v>7137</v>
      </c>
      <c r="F31" s="4">
        <v>8688</v>
      </c>
      <c r="G31" s="4">
        <v>10823</v>
      </c>
      <c r="H31" s="4">
        <v>6068</v>
      </c>
      <c r="I31" s="4">
        <v>1596</v>
      </c>
      <c r="J31" s="4">
        <f t="shared" si="0"/>
        <v>85146</v>
      </c>
    </row>
    <row r="32" spans="1:10">
      <c r="A32" s="4" t="s">
        <v>57</v>
      </c>
      <c r="B32" s="4">
        <v>3465</v>
      </c>
      <c r="C32" s="4">
        <v>9221</v>
      </c>
      <c r="D32" s="4">
        <v>4694</v>
      </c>
      <c r="E32" s="4">
        <v>4736</v>
      </c>
      <c r="F32" s="4">
        <v>11257</v>
      </c>
      <c r="G32" s="4">
        <v>19465</v>
      </c>
      <c r="H32" s="4">
        <v>11663</v>
      </c>
      <c r="I32" s="4">
        <v>5852</v>
      </c>
      <c r="J32" s="4">
        <f t="shared" si="0"/>
        <v>70353</v>
      </c>
    </row>
    <row r="33" spans="1:10">
      <c r="A33" s="4" t="s">
        <v>58</v>
      </c>
      <c r="B33" s="4">
        <v>10456</v>
      </c>
      <c r="C33" s="4">
        <v>10427</v>
      </c>
      <c r="D33" s="4">
        <v>10502</v>
      </c>
      <c r="E33" s="4">
        <v>8584</v>
      </c>
      <c r="F33" s="4">
        <v>8557</v>
      </c>
      <c r="G33" s="4">
        <v>10594</v>
      </c>
      <c r="H33" s="4">
        <v>9200</v>
      </c>
      <c r="I33" s="4">
        <v>0</v>
      </c>
      <c r="J33" s="4">
        <f t="shared" si="0"/>
        <v>68320</v>
      </c>
    </row>
    <row r="34" spans="1:10">
      <c r="A34" s="4" t="s">
        <v>59</v>
      </c>
      <c r="B34" s="4">
        <v>15696</v>
      </c>
      <c r="C34" s="4">
        <v>12324</v>
      </c>
      <c r="D34" s="4">
        <v>15771</v>
      </c>
      <c r="E34" s="4">
        <v>15062</v>
      </c>
      <c r="F34" s="4">
        <v>2010</v>
      </c>
      <c r="G34" s="4">
        <v>225</v>
      </c>
      <c r="H34" s="4">
        <v>34</v>
      </c>
      <c r="I34" s="4">
        <v>260</v>
      </c>
      <c r="J34" s="4">
        <f t="shared" ref="J34:J65" si="1">SUM(B34:I34)</f>
        <v>61382</v>
      </c>
    </row>
    <row r="35" spans="1:10">
      <c r="A35" s="4" t="s">
        <v>60</v>
      </c>
      <c r="B35" s="4">
        <v>8386</v>
      </c>
      <c r="C35" s="4">
        <v>13414</v>
      </c>
      <c r="D35" s="4">
        <v>9390</v>
      </c>
      <c r="E35" s="4">
        <v>6118</v>
      </c>
      <c r="F35" s="4">
        <v>3576</v>
      </c>
      <c r="G35" s="4">
        <v>4328</v>
      </c>
      <c r="H35" s="4">
        <v>5702</v>
      </c>
      <c r="I35" s="4">
        <v>4877</v>
      </c>
      <c r="J35" s="4">
        <f t="shared" si="1"/>
        <v>55791</v>
      </c>
    </row>
    <row r="36" spans="1:10">
      <c r="A36" s="4" t="s">
        <v>61</v>
      </c>
      <c r="B36" s="4">
        <v>1573</v>
      </c>
      <c r="C36" s="4">
        <v>795</v>
      </c>
      <c r="D36" s="4">
        <v>3659</v>
      </c>
      <c r="E36" s="4">
        <v>1609</v>
      </c>
      <c r="F36" s="4">
        <v>7700</v>
      </c>
      <c r="G36" s="4">
        <v>6341</v>
      </c>
      <c r="H36" s="4">
        <v>18270</v>
      </c>
      <c r="I36" s="4">
        <v>15588</v>
      </c>
      <c r="J36" s="4">
        <f t="shared" si="1"/>
        <v>55535</v>
      </c>
    </row>
    <row r="37" spans="1:10">
      <c r="A37" s="4" t="s">
        <v>62</v>
      </c>
      <c r="B37" s="4">
        <v>4811</v>
      </c>
      <c r="C37" s="4">
        <v>5083</v>
      </c>
      <c r="D37" s="4">
        <v>5790</v>
      </c>
      <c r="E37" s="4">
        <v>6834</v>
      </c>
      <c r="F37" s="4">
        <v>6496</v>
      </c>
      <c r="G37" s="4">
        <v>7068</v>
      </c>
      <c r="H37" s="4">
        <v>5969</v>
      </c>
      <c r="I37" s="4">
        <v>4536</v>
      </c>
      <c r="J37" s="4">
        <f t="shared" si="1"/>
        <v>46587</v>
      </c>
    </row>
    <row r="38" spans="1:10">
      <c r="A38" s="4" t="s">
        <v>63</v>
      </c>
      <c r="B38" s="4">
        <v>5839</v>
      </c>
      <c r="C38" s="4">
        <v>5055</v>
      </c>
      <c r="D38" s="4">
        <v>6522</v>
      </c>
      <c r="E38" s="4">
        <v>6494</v>
      </c>
      <c r="F38" s="4">
        <v>5287</v>
      </c>
      <c r="G38" s="4">
        <v>5318</v>
      </c>
      <c r="H38" s="4">
        <v>5919</v>
      </c>
      <c r="I38" s="4">
        <v>6050</v>
      </c>
      <c r="J38" s="4">
        <f t="shared" si="1"/>
        <v>46484</v>
      </c>
    </row>
    <row r="39" spans="1:10">
      <c r="A39" s="4" t="s">
        <v>64</v>
      </c>
      <c r="B39" s="4">
        <v>6036</v>
      </c>
      <c r="C39" s="4">
        <v>9124</v>
      </c>
      <c r="D39" s="4">
        <v>6797</v>
      </c>
      <c r="E39" s="4">
        <v>6723</v>
      </c>
      <c r="F39" s="4">
        <v>8211</v>
      </c>
      <c r="G39" s="4">
        <v>6269</v>
      </c>
      <c r="H39" s="4">
        <v>704</v>
      </c>
      <c r="I39" s="4">
        <v>621</v>
      </c>
      <c r="J39" s="4">
        <f t="shared" si="1"/>
        <v>44485</v>
      </c>
    </row>
    <row r="40" spans="1:10">
      <c r="A40" s="4" t="s">
        <v>65</v>
      </c>
      <c r="B40" s="4">
        <v>7884</v>
      </c>
      <c r="C40" s="4">
        <v>5782</v>
      </c>
      <c r="D40" s="4">
        <v>2586</v>
      </c>
      <c r="E40" s="4">
        <v>7079</v>
      </c>
      <c r="F40" s="4">
        <v>2216</v>
      </c>
      <c r="G40" s="4">
        <v>2663</v>
      </c>
      <c r="H40" s="4">
        <v>3076</v>
      </c>
      <c r="I40" s="4">
        <v>4937</v>
      </c>
      <c r="J40" s="4">
        <f t="shared" si="1"/>
        <v>36223</v>
      </c>
    </row>
    <row r="41" spans="1:10">
      <c r="A41" s="4" t="s">
        <v>66</v>
      </c>
      <c r="B41" s="4">
        <v>2135</v>
      </c>
      <c r="C41" s="4">
        <v>2384</v>
      </c>
      <c r="D41" s="4">
        <v>2793</v>
      </c>
      <c r="E41" s="4">
        <v>5264</v>
      </c>
      <c r="F41" s="4">
        <v>5139</v>
      </c>
      <c r="G41" s="4">
        <v>4217</v>
      </c>
      <c r="H41" s="4">
        <v>4738</v>
      </c>
      <c r="I41" s="4">
        <v>5270</v>
      </c>
      <c r="J41" s="4">
        <f t="shared" si="1"/>
        <v>31940</v>
      </c>
    </row>
    <row r="42" spans="1:10">
      <c r="A42" s="4" t="s">
        <v>67</v>
      </c>
      <c r="B42" s="4">
        <v>10927</v>
      </c>
      <c r="C42" s="4">
        <v>6455</v>
      </c>
      <c r="D42" s="4">
        <v>6591</v>
      </c>
      <c r="E42" s="4">
        <v>5108</v>
      </c>
      <c r="F42" s="4">
        <v>1101</v>
      </c>
      <c r="G42" s="4">
        <v>634</v>
      </c>
      <c r="H42" s="4">
        <v>984</v>
      </c>
      <c r="I42" s="4">
        <v>119</v>
      </c>
      <c r="J42" s="4">
        <f t="shared" si="1"/>
        <v>31919</v>
      </c>
    </row>
    <row r="43" spans="1:10">
      <c r="A43" s="4" t="s">
        <v>68</v>
      </c>
      <c r="B43" s="4">
        <v>4832</v>
      </c>
      <c r="C43" s="4">
        <v>3064</v>
      </c>
      <c r="D43" s="4">
        <v>2676</v>
      </c>
      <c r="E43" s="4">
        <v>2170</v>
      </c>
      <c r="F43" s="4">
        <v>2322</v>
      </c>
      <c r="G43" s="4">
        <v>2227</v>
      </c>
      <c r="H43" s="4">
        <v>1505</v>
      </c>
      <c r="I43" s="4">
        <v>2547</v>
      </c>
      <c r="J43" s="4">
        <f t="shared" si="1"/>
        <v>21343</v>
      </c>
    </row>
    <row r="44" spans="1:10">
      <c r="A44" s="4" t="s">
        <v>69</v>
      </c>
      <c r="B44" s="4">
        <v>1701</v>
      </c>
      <c r="C44" s="4">
        <v>3249</v>
      </c>
      <c r="D44" s="4">
        <v>6032</v>
      </c>
      <c r="E44" s="4">
        <v>1947</v>
      </c>
      <c r="F44" s="4">
        <v>3242</v>
      </c>
      <c r="G44" s="4">
        <v>1735</v>
      </c>
      <c r="H44" s="4">
        <v>846</v>
      </c>
      <c r="I44" s="4">
        <v>821</v>
      </c>
      <c r="J44" s="4">
        <f t="shared" si="1"/>
        <v>19573</v>
      </c>
    </row>
    <row r="45" spans="1:10">
      <c r="A45" s="4" t="s">
        <v>70</v>
      </c>
      <c r="B45" s="4">
        <v>5939</v>
      </c>
      <c r="C45" s="4">
        <v>4348</v>
      </c>
      <c r="D45" s="4">
        <v>4058</v>
      </c>
      <c r="E45" s="4">
        <v>123</v>
      </c>
      <c r="F45" s="4">
        <v>2555</v>
      </c>
      <c r="G45" s="4">
        <v>1218</v>
      </c>
      <c r="H45" s="4">
        <v>422</v>
      </c>
      <c r="I45" s="4">
        <v>806</v>
      </c>
      <c r="J45" s="4">
        <f t="shared" si="1"/>
        <v>19469</v>
      </c>
    </row>
    <row r="46" spans="1:10">
      <c r="A46" s="4" t="s">
        <v>71</v>
      </c>
      <c r="B46" s="4">
        <v>1005</v>
      </c>
      <c r="C46" s="4">
        <v>1336</v>
      </c>
      <c r="D46" s="4">
        <v>1910</v>
      </c>
      <c r="E46" s="4">
        <v>2066</v>
      </c>
      <c r="F46" s="4">
        <v>2341</v>
      </c>
      <c r="G46" s="4">
        <v>3490</v>
      </c>
      <c r="H46" s="4">
        <v>3737</v>
      </c>
      <c r="I46" s="4">
        <v>3475</v>
      </c>
      <c r="J46" s="4">
        <f t="shared" si="1"/>
        <v>19360</v>
      </c>
    </row>
    <row r="47" spans="1:10">
      <c r="A47" s="4" t="s">
        <v>72</v>
      </c>
      <c r="B47" s="4">
        <v>2028</v>
      </c>
      <c r="C47" s="4">
        <v>1848</v>
      </c>
      <c r="D47" s="4">
        <v>2235</v>
      </c>
      <c r="E47" s="4">
        <v>2416</v>
      </c>
      <c r="F47" s="4">
        <v>2225</v>
      </c>
      <c r="G47" s="4">
        <v>2041</v>
      </c>
      <c r="H47" s="4">
        <v>1847</v>
      </c>
      <c r="I47" s="4">
        <v>1746</v>
      </c>
      <c r="J47" s="4">
        <f t="shared" si="1"/>
        <v>16386</v>
      </c>
    </row>
    <row r="48" spans="1:10">
      <c r="A48" s="4" t="s">
        <v>73</v>
      </c>
      <c r="B48" s="4">
        <v>2694</v>
      </c>
      <c r="C48" s="4">
        <v>1893</v>
      </c>
      <c r="D48" s="4">
        <v>2301</v>
      </c>
      <c r="E48" s="4">
        <v>1661</v>
      </c>
      <c r="F48" s="4">
        <v>766</v>
      </c>
      <c r="G48" s="4">
        <v>975</v>
      </c>
      <c r="H48" s="4">
        <v>866</v>
      </c>
      <c r="I48" s="4">
        <v>1331</v>
      </c>
      <c r="J48" s="4">
        <f t="shared" si="1"/>
        <v>12487</v>
      </c>
    </row>
    <row r="49" spans="1:10">
      <c r="A49" s="4" t="s">
        <v>74</v>
      </c>
      <c r="B49" s="4">
        <v>278</v>
      </c>
      <c r="C49" s="4">
        <v>781</v>
      </c>
      <c r="D49" s="4">
        <v>1773</v>
      </c>
      <c r="E49" s="4">
        <v>2450</v>
      </c>
      <c r="F49" s="4">
        <v>2093</v>
      </c>
      <c r="G49" s="4">
        <v>1716</v>
      </c>
      <c r="H49" s="4">
        <v>1391</v>
      </c>
      <c r="I49" s="4">
        <v>160</v>
      </c>
      <c r="J49" s="4">
        <f t="shared" si="1"/>
        <v>10642</v>
      </c>
    </row>
    <row r="50" spans="1:10">
      <c r="A50" s="4" t="s">
        <v>75</v>
      </c>
      <c r="B50" s="4">
        <v>809</v>
      </c>
      <c r="C50" s="4">
        <v>661</v>
      </c>
      <c r="D50" s="4">
        <v>674</v>
      </c>
      <c r="E50" s="4">
        <v>708</v>
      </c>
      <c r="F50" s="4">
        <v>1224</v>
      </c>
      <c r="G50" s="4">
        <v>2011</v>
      </c>
      <c r="H50" s="4">
        <v>2191</v>
      </c>
      <c r="I50" s="4">
        <v>2288</v>
      </c>
      <c r="J50" s="4">
        <f t="shared" si="1"/>
        <v>10566</v>
      </c>
    </row>
    <row r="51" spans="1:10">
      <c r="A51" s="4" t="s">
        <v>76</v>
      </c>
      <c r="B51" s="4">
        <v>310</v>
      </c>
      <c r="C51" s="4">
        <v>308</v>
      </c>
      <c r="D51" s="4">
        <v>248</v>
      </c>
      <c r="E51" s="4">
        <v>661</v>
      </c>
      <c r="F51" s="4">
        <v>1277</v>
      </c>
      <c r="G51" s="4">
        <v>2116</v>
      </c>
      <c r="H51" s="4">
        <v>2040</v>
      </c>
      <c r="I51" s="4">
        <v>2120</v>
      </c>
      <c r="J51" s="4">
        <f t="shared" si="1"/>
        <v>9080</v>
      </c>
    </row>
    <row r="52" spans="1:10">
      <c r="A52" s="4" t="s">
        <v>77</v>
      </c>
      <c r="B52" s="4">
        <v>594</v>
      </c>
      <c r="C52" s="4">
        <v>950</v>
      </c>
      <c r="D52" s="4">
        <v>582</v>
      </c>
      <c r="E52" s="4">
        <v>104</v>
      </c>
      <c r="F52" s="4">
        <v>178</v>
      </c>
      <c r="G52" s="4">
        <v>362</v>
      </c>
      <c r="H52" s="4">
        <v>313</v>
      </c>
      <c r="I52" s="4">
        <v>5672</v>
      </c>
      <c r="J52" s="4">
        <f t="shared" si="1"/>
        <v>8755</v>
      </c>
    </row>
    <row r="53" spans="1:10">
      <c r="A53" s="4" t="s">
        <v>78</v>
      </c>
      <c r="B53" s="4">
        <v>2469</v>
      </c>
      <c r="C53" s="4">
        <v>1693</v>
      </c>
      <c r="D53" s="4">
        <v>554</v>
      </c>
      <c r="E53" s="4">
        <v>210</v>
      </c>
      <c r="F53" s="4">
        <v>99</v>
      </c>
      <c r="G53" s="4">
        <v>623</v>
      </c>
      <c r="H53" s="4">
        <v>496</v>
      </c>
      <c r="I53" s="4">
        <v>692</v>
      </c>
      <c r="J53" s="4">
        <f t="shared" si="1"/>
        <v>6836</v>
      </c>
    </row>
    <row r="54" spans="1:10">
      <c r="A54" s="4" t="s">
        <v>79</v>
      </c>
      <c r="B54" s="4">
        <v>389</v>
      </c>
      <c r="C54" s="4">
        <v>497</v>
      </c>
      <c r="D54" s="4">
        <v>937</v>
      </c>
      <c r="E54" s="4">
        <v>978</v>
      </c>
      <c r="F54" s="4">
        <v>1344</v>
      </c>
      <c r="G54" s="4">
        <v>1252</v>
      </c>
      <c r="H54" s="4"/>
      <c r="I54" s="4">
        <v>410</v>
      </c>
      <c r="J54" s="4">
        <f t="shared" si="1"/>
        <v>5807</v>
      </c>
    </row>
    <row r="55" spans="1:10">
      <c r="A55" s="4" t="s">
        <v>80</v>
      </c>
      <c r="B55" s="4">
        <v>343</v>
      </c>
      <c r="C55" s="4">
        <v>617</v>
      </c>
      <c r="D55" s="4">
        <v>354</v>
      </c>
      <c r="E55" s="4">
        <v>352</v>
      </c>
      <c r="F55" s="4">
        <v>502</v>
      </c>
      <c r="G55" s="4">
        <v>534</v>
      </c>
      <c r="H55" s="4">
        <v>638</v>
      </c>
      <c r="I55" s="4">
        <v>904</v>
      </c>
      <c r="J55" s="4">
        <f t="shared" si="1"/>
        <v>4244</v>
      </c>
    </row>
    <row r="56" spans="1:10">
      <c r="A56" s="4" t="s">
        <v>81</v>
      </c>
      <c r="B56" s="4">
        <v>729</v>
      </c>
      <c r="C56" s="4">
        <v>620</v>
      </c>
      <c r="D56" s="4">
        <v>770</v>
      </c>
      <c r="E56" s="4">
        <v>494</v>
      </c>
      <c r="F56" s="4">
        <v>685</v>
      </c>
      <c r="G56" s="4">
        <v>642</v>
      </c>
      <c r="H56" s="4">
        <v>69</v>
      </c>
      <c r="I56" s="4">
        <v>125</v>
      </c>
      <c r="J56" s="4">
        <f t="shared" si="1"/>
        <v>4134</v>
      </c>
    </row>
    <row r="57" spans="1:10">
      <c r="A57" s="4" t="s">
        <v>82</v>
      </c>
      <c r="B57" s="4">
        <v>401</v>
      </c>
      <c r="C57" s="4">
        <v>472</v>
      </c>
      <c r="D57" s="4">
        <v>599</v>
      </c>
      <c r="E57" s="4">
        <v>534</v>
      </c>
      <c r="F57" s="4">
        <v>301</v>
      </c>
      <c r="G57" s="4">
        <v>271</v>
      </c>
      <c r="H57" s="4">
        <v>206</v>
      </c>
      <c r="I57" s="4">
        <v>319</v>
      </c>
      <c r="J57" s="4">
        <f t="shared" si="1"/>
        <v>3103</v>
      </c>
    </row>
    <row r="58" spans="1:10">
      <c r="A58" s="4" t="s">
        <v>83</v>
      </c>
      <c r="B58" s="4">
        <v>384</v>
      </c>
      <c r="C58" s="4">
        <v>286</v>
      </c>
      <c r="D58" s="4">
        <v>336</v>
      </c>
      <c r="E58" s="4">
        <v>365</v>
      </c>
      <c r="F58" s="4">
        <v>275</v>
      </c>
      <c r="G58" s="4">
        <v>318</v>
      </c>
      <c r="H58" s="4">
        <v>272</v>
      </c>
      <c r="I58" s="4">
        <v>407</v>
      </c>
      <c r="J58" s="4">
        <f t="shared" si="1"/>
        <v>2643</v>
      </c>
    </row>
    <row r="59" spans="1:10">
      <c r="A59" s="4" t="s">
        <v>84</v>
      </c>
      <c r="B59" s="4">
        <v>414</v>
      </c>
      <c r="C59" s="4">
        <v>979</v>
      </c>
      <c r="D59" s="4">
        <v>392</v>
      </c>
      <c r="E59" s="4">
        <v>212</v>
      </c>
      <c r="F59" s="4">
        <v>237</v>
      </c>
      <c r="G59" s="4">
        <v>90</v>
      </c>
      <c r="H59" s="4">
        <v>85</v>
      </c>
      <c r="I59" s="4">
        <v>95</v>
      </c>
      <c r="J59" s="4">
        <f t="shared" si="1"/>
        <v>2504</v>
      </c>
    </row>
    <row r="60" spans="1:10">
      <c r="A60" s="4" t="s">
        <v>85</v>
      </c>
      <c r="B60" s="4">
        <v>56</v>
      </c>
      <c r="C60" s="4">
        <v>820</v>
      </c>
      <c r="D60" s="4">
        <v>0</v>
      </c>
      <c r="E60" s="4">
        <v>29</v>
      </c>
      <c r="F60" s="4">
        <v>89</v>
      </c>
      <c r="G60" s="4">
        <v>747</v>
      </c>
      <c r="H60" s="4">
        <v>389</v>
      </c>
      <c r="I60" s="4">
        <v>261</v>
      </c>
      <c r="J60" s="4">
        <f t="shared" si="1"/>
        <v>2391</v>
      </c>
    </row>
    <row r="61" spans="1:10">
      <c r="A61" s="4" t="s">
        <v>86</v>
      </c>
      <c r="B61" s="4">
        <v>93</v>
      </c>
      <c r="C61" s="4">
        <v>258</v>
      </c>
      <c r="D61" s="4">
        <v>1332</v>
      </c>
      <c r="E61" s="4">
        <v>181</v>
      </c>
      <c r="F61" s="4">
        <v>37</v>
      </c>
      <c r="G61" s="4">
        <v>306</v>
      </c>
      <c r="H61" s="4">
        <v>142</v>
      </c>
      <c r="I61" s="4">
        <v>7</v>
      </c>
      <c r="J61" s="4">
        <f t="shared" si="1"/>
        <v>2356</v>
      </c>
    </row>
    <row r="62" spans="1:10">
      <c r="A62" s="4" t="s">
        <v>87</v>
      </c>
      <c r="B62" s="4">
        <v>569</v>
      </c>
      <c r="C62" s="4">
        <v>0</v>
      </c>
      <c r="D62" s="4">
        <v>849</v>
      </c>
      <c r="E62" s="4">
        <v>700</v>
      </c>
      <c r="F62" s="4">
        <v>152</v>
      </c>
      <c r="G62" s="4">
        <v>12</v>
      </c>
      <c r="H62" s="4">
        <v>25</v>
      </c>
      <c r="I62" s="4">
        <v>25</v>
      </c>
      <c r="J62" s="4">
        <f t="shared" si="1"/>
        <v>2332</v>
      </c>
    </row>
    <row r="63" spans="1:10">
      <c r="A63" s="4" t="s">
        <v>88</v>
      </c>
      <c r="B63" s="4">
        <v>63</v>
      </c>
      <c r="C63" s="4">
        <v>621</v>
      </c>
      <c r="D63" s="4">
        <v>519</v>
      </c>
      <c r="E63" s="4">
        <v>396</v>
      </c>
      <c r="F63" s="4">
        <v>394</v>
      </c>
      <c r="G63" s="4">
        <v>150</v>
      </c>
      <c r="H63" s="4">
        <v>36</v>
      </c>
      <c r="I63" s="4">
        <v>108</v>
      </c>
      <c r="J63" s="4">
        <f t="shared" si="1"/>
        <v>2287</v>
      </c>
    </row>
    <row r="64" spans="1:10">
      <c r="A64" s="4" t="s">
        <v>89</v>
      </c>
      <c r="B64" s="4">
        <v>4</v>
      </c>
      <c r="C64" s="4">
        <v>2</v>
      </c>
      <c r="D64" s="4">
        <v>1</v>
      </c>
      <c r="E64" s="4">
        <v>2</v>
      </c>
      <c r="F64" s="4">
        <v>0</v>
      </c>
      <c r="G64" s="4">
        <v>935</v>
      </c>
      <c r="H64" s="4">
        <v>363</v>
      </c>
      <c r="I64" s="4">
        <v>0</v>
      </c>
      <c r="J64" s="4">
        <f t="shared" si="1"/>
        <v>1307</v>
      </c>
    </row>
    <row r="65" spans="1:10">
      <c r="A65" s="4" t="s">
        <v>90</v>
      </c>
      <c r="B65" s="4">
        <v>38</v>
      </c>
      <c r="C65" s="4">
        <v>39</v>
      </c>
      <c r="D65" s="4">
        <v>40</v>
      </c>
      <c r="E65" s="4">
        <v>61</v>
      </c>
      <c r="F65" s="4">
        <v>469</v>
      </c>
      <c r="G65" s="4">
        <v>560</v>
      </c>
      <c r="H65" s="4">
        <v>73</v>
      </c>
      <c r="I65" s="4">
        <v>0</v>
      </c>
      <c r="J65" s="4">
        <f t="shared" si="1"/>
        <v>1280</v>
      </c>
    </row>
    <row r="66" spans="1:10">
      <c r="A66" s="4" t="s">
        <v>91</v>
      </c>
      <c r="B66" s="4">
        <v>0</v>
      </c>
      <c r="C66" s="4">
        <v>255</v>
      </c>
      <c r="D66" s="4">
        <v>137</v>
      </c>
      <c r="E66" s="4">
        <v>165</v>
      </c>
      <c r="F66" s="4">
        <v>165</v>
      </c>
      <c r="G66" s="4">
        <v>149</v>
      </c>
      <c r="H66" s="4">
        <v>85</v>
      </c>
      <c r="I66" s="4">
        <v>116</v>
      </c>
      <c r="J66" s="4">
        <f t="shared" ref="J66:J129" si="2">SUM(B66:I66)</f>
        <v>1072</v>
      </c>
    </row>
    <row r="67" spans="1:10">
      <c r="A67" s="4" t="s">
        <v>92</v>
      </c>
      <c r="B67" s="4">
        <v>0</v>
      </c>
      <c r="C67" s="4">
        <v>0</v>
      </c>
      <c r="D67" s="4">
        <v>0</v>
      </c>
      <c r="E67" s="4">
        <v>2</v>
      </c>
      <c r="F67" s="4">
        <v>147</v>
      </c>
      <c r="G67" s="4">
        <v>216</v>
      </c>
      <c r="H67" s="4">
        <v>364</v>
      </c>
      <c r="I67" s="4">
        <v>315</v>
      </c>
      <c r="J67" s="4">
        <f t="shared" si="2"/>
        <v>1044</v>
      </c>
    </row>
    <row r="68" spans="1:10">
      <c r="A68" s="4" t="s">
        <v>93</v>
      </c>
      <c r="B68" s="4">
        <v>0</v>
      </c>
      <c r="C68" s="4">
        <v>725</v>
      </c>
      <c r="D68" s="4">
        <v>74</v>
      </c>
      <c r="E68" s="4">
        <v>145</v>
      </c>
      <c r="F68" s="4">
        <v>30</v>
      </c>
      <c r="G68" s="4">
        <v>0</v>
      </c>
      <c r="H68" s="4">
        <v>0</v>
      </c>
      <c r="I68" s="4">
        <v>0</v>
      </c>
      <c r="J68" s="4">
        <f t="shared" si="2"/>
        <v>974</v>
      </c>
    </row>
    <row r="69" spans="1:10">
      <c r="A69" s="4" t="s">
        <v>94</v>
      </c>
      <c r="B69" s="4">
        <v>836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f t="shared" si="2"/>
        <v>836</v>
      </c>
    </row>
    <row r="70" spans="1:10">
      <c r="A70" s="4" t="s">
        <v>95</v>
      </c>
      <c r="B70" s="4">
        <v>579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/>
      <c r="J70" s="4">
        <f t="shared" si="2"/>
        <v>579</v>
      </c>
    </row>
    <row r="71" spans="1:10">
      <c r="A71" s="4" t="s">
        <v>96</v>
      </c>
      <c r="B71" s="4">
        <v>187</v>
      </c>
      <c r="C71" s="4">
        <v>155</v>
      </c>
      <c r="D71" s="4">
        <v>67</v>
      </c>
      <c r="E71" s="4">
        <v>55</v>
      </c>
      <c r="F71" s="4">
        <v>28</v>
      </c>
      <c r="G71" s="4">
        <v>14</v>
      </c>
      <c r="H71" s="4">
        <v>0</v>
      </c>
      <c r="I71" s="4">
        <v>4</v>
      </c>
      <c r="J71" s="4">
        <f t="shared" si="2"/>
        <v>510</v>
      </c>
    </row>
    <row r="72" spans="1:10">
      <c r="A72" s="4" t="s">
        <v>97</v>
      </c>
      <c r="B72" s="4">
        <v>169</v>
      </c>
      <c r="C72" s="4">
        <v>37</v>
      </c>
      <c r="D72" s="4">
        <v>103</v>
      </c>
      <c r="E72" s="4">
        <v>101</v>
      </c>
      <c r="F72" s="4">
        <v>13</v>
      </c>
      <c r="G72" s="4">
        <v>3</v>
      </c>
      <c r="H72" s="4">
        <v>0</v>
      </c>
      <c r="I72" s="4">
        <v>0</v>
      </c>
      <c r="J72" s="4">
        <f t="shared" si="2"/>
        <v>426</v>
      </c>
    </row>
    <row r="73" spans="1:10">
      <c r="A73" s="4" t="s">
        <v>98</v>
      </c>
      <c r="B73" s="4">
        <v>43</v>
      </c>
      <c r="C73" s="4">
        <v>40</v>
      </c>
      <c r="D73" s="4">
        <v>56</v>
      </c>
      <c r="E73" s="4">
        <v>44</v>
      </c>
      <c r="F73" s="4">
        <v>48</v>
      </c>
      <c r="G73" s="4">
        <v>37</v>
      </c>
      <c r="H73" s="4">
        <v>43</v>
      </c>
      <c r="I73" s="4">
        <v>49</v>
      </c>
      <c r="J73" s="4">
        <f t="shared" si="2"/>
        <v>360</v>
      </c>
    </row>
    <row r="74" spans="1:10">
      <c r="A74" s="4" t="s">
        <v>99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352</v>
      </c>
      <c r="J74" s="4">
        <f t="shared" si="2"/>
        <v>352</v>
      </c>
    </row>
    <row r="75" spans="1:10">
      <c r="A75" s="4" t="s">
        <v>100</v>
      </c>
      <c r="B75" s="4">
        <v>24</v>
      </c>
      <c r="C75" s="4">
        <v>15</v>
      </c>
      <c r="D75" s="4">
        <v>0</v>
      </c>
      <c r="E75" s="4">
        <v>41</v>
      </c>
      <c r="F75" s="4">
        <v>26</v>
      </c>
      <c r="G75" s="4">
        <v>78</v>
      </c>
      <c r="H75" s="4">
        <v>146</v>
      </c>
      <c r="I75" s="4">
        <v>0</v>
      </c>
      <c r="J75" s="4">
        <f t="shared" si="2"/>
        <v>330</v>
      </c>
    </row>
    <row r="76" spans="1:10">
      <c r="A76" s="4" t="s">
        <v>101</v>
      </c>
      <c r="B76" s="4">
        <v>0</v>
      </c>
      <c r="C76" s="4">
        <v>0</v>
      </c>
      <c r="D76" s="4">
        <v>0</v>
      </c>
      <c r="E76" s="4">
        <v>268</v>
      </c>
      <c r="F76" s="4">
        <v>42</v>
      </c>
      <c r="G76" s="4">
        <v>0</v>
      </c>
      <c r="H76" s="4">
        <v>0</v>
      </c>
      <c r="I76" s="4">
        <v>0</v>
      </c>
      <c r="J76" s="4">
        <f t="shared" si="2"/>
        <v>310</v>
      </c>
    </row>
    <row r="77" spans="1:10">
      <c r="A77" s="4" t="s">
        <v>102</v>
      </c>
      <c r="B77" s="4">
        <v>114</v>
      </c>
      <c r="C77" s="4">
        <v>143</v>
      </c>
      <c r="D77" s="4">
        <v>36</v>
      </c>
      <c r="E77" s="4">
        <v>0</v>
      </c>
      <c r="F77" s="4">
        <v>0</v>
      </c>
      <c r="G77" s="4">
        <v>15</v>
      </c>
      <c r="H77" s="4">
        <v>0</v>
      </c>
      <c r="I77" s="4">
        <v>0</v>
      </c>
      <c r="J77" s="4">
        <f t="shared" si="2"/>
        <v>308</v>
      </c>
    </row>
    <row r="78" spans="1:10">
      <c r="A78" s="4" t="s">
        <v>103</v>
      </c>
      <c r="B78" s="4">
        <v>47</v>
      </c>
      <c r="C78" s="4">
        <v>9</v>
      </c>
      <c r="D78" s="4">
        <v>4</v>
      </c>
      <c r="E78" s="4">
        <v>11</v>
      </c>
      <c r="F78" s="4">
        <v>13</v>
      </c>
      <c r="G78" s="4">
        <v>40</v>
      </c>
      <c r="H78" s="4">
        <v>67</v>
      </c>
      <c r="I78" s="4">
        <v>103</v>
      </c>
      <c r="J78" s="4">
        <f t="shared" si="2"/>
        <v>294</v>
      </c>
    </row>
    <row r="79" spans="1:10">
      <c r="A79" s="4" t="s">
        <v>104</v>
      </c>
      <c r="B79" s="4">
        <v>22</v>
      </c>
      <c r="C79" s="4">
        <v>16</v>
      </c>
      <c r="D79" s="4">
        <v>11</v>
      </c>
      <c r="E79" s="4">
        <v>6</v>
      </c>
      <c r="F79" s="4">
        <v>11</v>
      </c>
      <c r="G79" s="4">
        <v>18</v>
      </c>
      <c r="H79" s="4">
        <v>186</v>
      </c>
      <c r="I79" s="4">
        <v>15</v>
      </c>
      <c r="J79" s="4">
        <f t="shared" si="2"/>
        <v>285</v>
      </c>
    </row>
    <row r="80" spans="1:10">
      <c r="A80" s="4" t="s">
        <v>105</v>
      </c>
      <c r="B80" s="4">
        <v>1</v>
      </c>
      <c r="C80" s="4">
        <v>27</v>
      </c>
      <c r="D80" s="4">
        <v>14</v>
      </c>
      <c r="E80" s="4">
        <v>12</v>
      </c>
      <c r="F80" s="4">
        <v>180</v>
      </c>
      <c r="G80" s="4">
        <v>8</v>
      </c>
      <c r="H80" s="4">
        <v>0</v>
      </c>
      <c r="I80" s="4"/>
      <c r="J80" s="4">
        <f t="shared" si="2"/>
        <v>242</v>
      </c>
    </row>
    <row r="81" spans="1:10">
      <c r="A81" s="4" t="s">
        <v>106</v>
      </c>
      <c r="B81" s="4"/>
      <c r="C81" s="4"/>
      <c r="D81" s="4">
        <v>22</v>
      </c>
      <c r="E81" s="4">
        <v>36</v>
      </c>
      <c r="F81" s="4">
        <v>106</v>
      </c>
      <c r="G81" s="4">
        <v>50</v>
      </c>
      <c r="H81" s="4">
        <v>4</v>
      </c>
      <c r="I81" s="4"/>
      <c r="J81" s="4">
        <f t="shared" si="2"/>
        <v>218</v>
      </c>
    </row>
    <row r="82" spans="1:10">
      <c r="A82" s="4" t="s">
        <v>107</v>
      </c>
      <c r="B82" s="4">
        <v>111</v>
      </c>
      <c r="C82" s="4">
        <v>70</v>
      </c>
      <c r="D82" s="4">
        <v>26</v>
      </c>
      <c r="E82" s="4"/>
      <c r="F82" s="4"/>
      <c r="G82" s="4"/>
      <c r="H82" s="4"/>
      <c r="I82" s="4"/>
      <c r="J82" s="4">
        <f t="shared" si="2"/>
        <v>207</v>
      </c>
    </row>
    <row r="83" spans="1:10">
      <c r="A83" s="4" t="s">
        <v>108</v>
      </c>
      <c r="B83" s="4">
        <v>46</v>
      </c>
      <c r="C83" s="4">
        <v>19</v>
      </c>
      <c r="D83" s="4">
        <v>41</v>
      </c>
      <c r="E83" s="4">
        <v>22</v>
      </c>
      <c r="F83" s="4">
        <v>21</v>
      </c>
      <c r="G83" s="4">
        <v>13</v>
      </c>
      <c r="H83" s="4">
        <v>14</v>
      </c>
      <c r="I83" s="4">
        <v>11</v>
      </c>
      <c r="J83" s="4">
        <f t="shared" si="2"/>
        <v>187</v>
      </c>
    </row>
    <row r="84" spans="1:10">
      <c r="A84" s="4" t="s">
        <v>109</v>
      </c>
      <c r="B84" s="4">
        <v>37</v>
      </c>
      <c r="C84" s="4">
        <v>15</v>
      </c>
      <c r="D84" s="4">
        <v>25</v>
      </c>
      <c r="E84" s="4">
        <v>51</v>
      </c>
      <c r="F84" s="4" t="s">
        <v>45</v>
      </c>
      <c r="G84" s="4">
        <v>26</v>
      </c>
      <c r="H84" s="4">
        <v>8</v>
      </c>
      <c r="I84" s="4">
        <v>20</v>
      </c>
      <c r="J84" s="4">
        <f t="shared" si="2"/>
        <v>182</v>
      </c>
    </row>
    <row r="85" spans="1:10">
      <c r="A85" s="4" t="s">
        <v>110</v>
      </c>
      <c r="B85" s="4">
        <v>37</v>
      </c>
      <c r="C85" s="4">
        <v>28</v>
      </c>
      <c r="D85" s="4">
        <v>0</v>
      </c>
      <c r="E85" s="4">
        <v>8</v>
      </c>
      <c r="F85" s="4">
        <v>25</v>
      </c>
      <c r="G85" s="4">
        <v>6</v>
      </c>
      <c r="H85" s="4">
        <v>70</v>
      </c>
      <c r="I85" s="4"/>
      <c r="J85" s="4">
        <f t="shared" si="2"/>
        <v>174</v>
      </c>
    </row>
    <row r="86" spans="1:10">
      <c r="A86" s="4" t="s">
        <v>111</v>
      </c>
      <c r="B86" s="4">
        <v>24</v>
      </c>
      <c r="C86" s="4">
        <v>10</v>
      </c>
      <c r="D86" s="4">
        <v>38</v>
      </c>
      <c r="E86" s="4">
        <v>43</v>
      </c>
      <c r="F86" s="4">
        <v>18</v>
      </c>
      <c r="G86" s="4">
        <v>0</v>
      </c>
      <c r="H86" s="4">
        <v>0</v>
      </c>
      <c r="I86" s="4"/>
      <c r="J86" s="4">
        <f t="shared" si="2"/>
        <v>133</v>
      </c>
    </row>
    <row r="87" spans="1:10">
      <c r="A87" s="4" t="s">
        <v>112</v>
      </c>
      <c r="B87" s="4"/>
      <c r="C87" s="4"/>
      <c r="D87" s="4"/>
      <c r="E87" s="4"/>
      <c r="F87" s="4"/>
      <c r="G87" s="4">
        <v>120</v>
      </c>
      <c r="H87" s="4">
        <v>3</v>
      </c>
      <c r="I87" s="4"/>
      <c r="J87" s="4">
        <f t="shared" si="2"/>
        <v>123</v>
      </c>
    </row>
    <row r="88" spans="1:10">
      <c r="A88" s="4" t="s">
        <v>113</v>
      </c>
      <c r="B88" s="4">
        <v>51</v>
      </c>
      <c r="C88" s="4">
        <v>34</v>
      </c>
      <c r="D88" s="4">
        <v>0</v>
      </c>
      <c r="E88" s="4">
        <v>0</v>
      </c>
      <c r="F88" s="4">
        <v>7</v>
      </c>
      <c r="G88" s="4">
        <v>1</v>
      </c>
      <c r="H88" s="4">
        <v>10</v>
      </c>
      <c r="I88" s="4">
        <v>0</v>
      </c>
      <c r="J88" s="4">
        <f t="shared" si="2"/>
        <v>103</v>
      </c>
    </row>
    <row r="89" spans="1:10">
      <c r="A89" s="4" t="s">
        <v>114</v>
      </c>
      <c r="B89" s="4">
        <v>0</v>
      </c>
      <c r="C89" s="4">
        <v>0</v>
      </c>
      <c r="D89" s="4">
        <v>60</v>
      </c>
      <c r="E89" s="4">
        <v>0</v>
      </c>
      <c r="F89" s="4">
        <v>0</v>
      </c>
      <c r="G89" s="4">
        <v>0</v>
      </c>
      <c r="H89" s="4">
        <v>38</v>
      </c>
      <c r="I89" s="4">
        <v>0</v>
      </c>
      <c r="J89" s="4">
        <f t="shared" si="2"/>
        <v>98</v>
      </c>
    </row>
    <row r="90" spans="1:10">
      <c r="A90" s="4" t="s">
        <v>115</v>
      </c>
      <c r="B90" s="4">
        <v>38</v>
      </c>
      <c r="C90" s="4">
        <v>12</v>
      </c>
      <c r="D90" s="4">
        <v>9</v>
      </c>
      <c r="E90" s="4">
        <v>16</v>
      </c>
      <c r="F90" s="4">
        <v>11</v>
      </c>
      <c r="G90" s="4">
        <v>1</v>
      </c>
      <c r="H90" s="4">
        <v>5</v>
      </c>
      <c r="I90" s="4">
        <v>1</v>
      </c>
      <c r="J90" s="4">
        <f t="shared" si="2"/>
        <v>93</v>
      </c>
    </row>
    <row r="91" spans="1:10">
      <c r="A91" s="4" t="s">
        <v>116</v>
      </c>
      <c r="B91" s="4">
        <v>4</v>
      </c>
      <c r="C91" s="4">
        <v>1</v>
      </c>
      <c r="D91" s="4">
        <v>4</v>
      </c>
      <c r="E91" s="4">
        <v>0</v>
      </c>
      <c r="F91" s="4">
        <v>2</v>
      </c>
      <c r="G91" s="4">
        <v>6</v>
      </c>
      <c r="H91" s="4">
        <v>28</v>
      </c>
      <c r="I91" s="4">
        <v>34</v>
      </c>
      <c r="J91" s="4">
        <f t="shared" si="2"/>
        <v>79</v>
      </c>
    </row>
    <row r="92" spans="1:10">
      <c r="A92" s="4" t="s">
        <v>117</v>
      </c>
      <c r="B92" s="4">
        <v>24</v>
      </c>
      <c r="C92" s="4">
        <v>9</v>
      </c>
      <c r="D92" s="4">
        <v>3</v>
      </c>
      <c r="E92" s="4">
        <v>24</v>
      </c>
      <c r="F92" s="4">
        <v>9</v>
      </c>
      <c r="G92" s="4">
        <v>0</v>
      </c>
      <c r="H92" s="4">
        <v>4</v>
      </c>
      <c r="I92" s="4">
        <v>4</v>
      </c>
      <c r="J92" s="4">
        <f t="shared" si="2"/>
        <v>77</v>
      </c>
    </row>
    <row r="93" spans="1:10">
      <c r="A93" s="4" t="s">
        <v>118</v>
      </c>
      <c r="B93" s="4"/>
      <c r="C93" s="4">
        <v>0</v>
      </c>
      <c r="D93" s="4">
        <v>9</v>
      </c>
      <c r="E93" s="4">
        <v>53</v>
      </c>
      <c r="F93" s="4">
        <v>12</v>
      </c>
      <c r="G93" s="4"/>
      <c r="H93" s="4"/>
      <c r="I93" s="4">
        <v>1</v>
      </c>
      <c r="J93" s="4">
        <f t="shared" si="2"/>
        <v>75</v>
      </c>
    </row>
    <row r="94" spans="1:10">
      <c r="A94" s="4" t="s">
        <v>119</v>
      </c>
      <c r="B94" s="4">
        <v>42</v>
      </c>
      <c r="C94" s="4">
        <v>2</v>
      </c>
      <c r="D94" s="4">
        <v>11</v>
      </c>
      <c r="E94" s="4">
        <v>10</v>
      </c>
      <c r="F94" s="4">
        <v>1</v>
      </c>
      <c r="G94" s="4">
        <v>1</v>
      </c>
      <c r="H94" s="4">
        <v>0</v>
      </c>
      <c r="I94" s="4">
        <v>0</v>
      </c>
      <c r="J94" s="4">
        <f t="shared" si="2"/>
        <v>67</v>
      </c>
    </row>
    <row r="95" spans="1:10">
      <c r="A95" s="4" t="s">
        <v>120</v>
      </c>
      <c r="B95" s="4">
        <v>17</v>
      </c>
      <c r="C95" s="4">
        <v>32</v>
      </c>
      <c r="D95" s="4">
        <v>3</v>
      </c>
      <c r="E95" s="4">
        <v>4</v>
      </c>
      <c r="F95" s="4">
        <v>0</v>
      </c>
      <c r="G95" s="4">
        <v>8</v>
      </c>
      <c r="H95" s="4">
        <v>1</v>
      </c>
      <c r="I95" s="4">
        <v>0</v>
      </c>
      <c r="J95" s="4">
        <f t="shared" si="2"/>
        <v>65</v>
      </c>
    </row>
    <row r="96" spans="1:10">
      <c r="A96" s="4" t="s">
        <v>121</v>
      </c>
      <c r="B96" s="4">
        <v>15</v>
      </c>
      <c r="C96" s="4">
        <v>40</v>
      </c>
      <c r="D96" s="4"/>
      <c r="E96" s="4"/>
      <c r="F96" s="4"/>
      <c r="G96" s="4"/>
      <c r="H96" s="4"/>
      <c r="I96" s="4"/>
      <c r="J96" s="4">
        <f t="shared" si="2"/>
        <v>55</v>
      </c>
    </row>
    <row r="97" spans="1:10">
      <c r="A97" s="4" t="s">
        <v>122</v>
      </c>
      <c r="B97" s="4">
        <v>0</v>
      </c>
      <c r="C97" s="4">
        <v>0</v>
      </c>
      <c r="D97" s="4">
        <v>0</v>
      </c>
      <c r="E97" s="4">
        <v>16</v>
      </c>
      <c r="F97" s="4">
        <v>0</v>
      </c>
      <c r="G97" s="4">
        <v>37</v>
      </c>
      <c r="H97" s="4">
        <v>1</v>
      </c>
      <c r="I97" s="4">
        <v>0</v>
      </c>
      <c r="J97" s="4">
        <f t="shared" si="2"/>
        <v>54</v>
      </c>
    </row>
    <row r="98" spans="1:10">
      <c r="A98" s="4" t="s">
        <v>123</v>
      </c>
      <c r="B98" s="4">
        <v>12</v>
      </c>
      <c r="C98" s="4">
        <v>1</v>
      </c>
      <c r="D98" s="4">
        <v>17</v>
      </c>
      <c r="E98" s="4">
        <v>2</v>
      </c>
      <c r="F98" s="4">
        <v>2</v>
      </c>
      <c r="G98" s="4">
        <v>14</v>
      </c>
      <c r="H98" s="4">
        <v>2</v>
      </c>
      <c r="I98" s="4">
        <v>2</v>
      </c>
      <c r="J98" s="4">
        <f t="shared" si="2"/>
        <v>52</v>
      </c>
    </row>
    <row r="99" spans="1:10">
      <c r="A99" s="4" t="s">
        <v>124</v>
      </c>
      <c r="B99" s="4">
        <v>2</v>
      </c>
      <c r="C99" s="4">
        <v>2</v>
      </c>
      <c r="D99" s="4">
        <v>5</v>
      </c>
      <c r="E99" s="4">
        <v>21</v>
      </c>
      <c r="F99" s="4">
        <v>0</v>
      </c>
      <c r="G99" s="4">
        <v>14</v>
      </c>
      <c r="H99" s="4">
        <v>6</v>
      </c>
      <c r="I99" s="4">
        <v>1</v>
      </c>
      <c r="J99" s="4">
        <f t="shared" si="2"/>
        <v>51</v>
      </c>
    </row>
    <row r="100" spans="1:10">
      <c r="A100" s="4" t="s">
        <v>125</v>
      </c>
      <c r="B100" s="4">
        <v>0</v>
      </c>
      <c r="C100" s="4">
        <v>0</v>
      </c>
      <c r="D100" s="4">
        <v>0</v>
      </c>
      <c r="E100" s="4">
        <v>0</v>
      </c>
      <c r="F100" s="4">
        <v>25</v>
      </c>
      <c r="G100" s="4">
        <v>25</v>
      </c>
      <c r="H100" s="4"/>
      <c r="I100" s="4">
        <v>0</v>
      </c>
      <c r="J100" s="4">
        <f t="shared" si="2"/>
        <v>50</v>
      </c>
    </row>
    <row r="101" spans="1:10">
      <c r="A101" s="4" t="s">
        <v>126</v>
      </c>
      <c r="B101" s="4">
        <v>0</v>
      </c>
      <c r="C101" s="4" t="s">
        <v>45</v>
      </c>
      <c r="D101" s="4">
        <v>18</v>
      </c>
      <c r="E101" s="4">
        <v>0</v>
      </c>
      <c r="F101" s="4">
        <v>0</v>
      </c>
      <c r="G101" s="4">
        <v>30</v>
      </c>
      <c r="H101" s="4">
        <v>0</v>
      </c>
      <c r="I101" s="4">
        <v>0</v>
      </c>
      <c r="J101" s="4">
        <f t="shared" si="2"/>
        <v>48</v>
      </c>
    </row>
    <row r="102" spans="1:10">
      <c r="A102" s="4" t="s">
        <v>127</v>
      </c>
      <c r="B102" s="4">
        <v>47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f t="shared" si="2"/>
        <v>47</v>
      </c>
    </row>
    <row r="103" spans="1:10">
      <c r="A103" s="4" t="s">
        <v>128</v>
      </c>
      <c r="B103" s="4">
        <v>0</v>
      </c>
      <c r="C103" s="4">
        <v>0</v>
      </c>
      <c r="D103" s="4">
        <v>0</v>
      </c>
      <c r="E103" s="4">
        <v>45</v>
      </c>
      <c r="F103" s="4">
        <v>0</v>
      </c>
      <c r="G103" s="4">
        <v>0</v>
      </c>
      <c r="H103" s="4">
        <v>0</v>
      </c>
      <c r="I103" s="4"/>
      <c r="J103" s="4">
        <f t="shared" si="2"/>
        <v>45</v>
      </c>
    </row>
    <row r="104" spans="1:10">
      <c r="A104" s="4" t="s">
        <v>129</v>
      </c>
      <c r="B104" s="4">
        <v>6</v>
      </c>
      <c r="C104" s="4"/>
      <c r="D104" s="4"/>
      <c r="E104" s="4"/>
      <c r="F104" s="4"/>
      <c r="G104" s="4"/>
      <c r="H104" s="4">
        <v>6</v>
      </c>
      <c r="I104" s="4">
        <v>25</v>
      </c>
      <c r="J104" s="4">
        <f t="shared" si="2"/>
        <v>37</v>
      </c>
    </row>
    <row r="105" spans="1:10">
      <c r="A105" s="4" t="s">
        <v>130</v>
      </c>
      <c r="B105" s="4">
        <v>33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/>
      <c r="J105" s="4">
        <f t="shared" si="2"/>
        <v>33</v>
      </c>
    </row>
    <row r="106" spans="1:10">
      <c r="A106" s="4" t="s">
        <v>131</v>
      </c>
      <c r="B106" s="4">
        <v>0</v>
      </c>
      <c r="C106" s="4">
        <v>0</v>
      </c>
      <c r="D106" s="4">
        <v>22</v>
      </c>
      <c r="E106" s="4">
        <v>5</v>
      </c>
      <c r="F106" s="4">
        <v>1</v>
      </c>
      <c r="G106" s="4">
        <v>4</v>
      </c>
      <c r="H106" s="4">
        <v>0</v>
      </c>
      <c r="I106" s="4"/>
      <c r="J106" s="4">
        <f t="shared" si="2"/>
        <v>32</v>
      </c>
    </row>
    <row r="107" spans="1:10">
      <c r="A107" s="4" t="s">
        <v>132</v>
      </c>
      <c r="B107" s="4">
        <v>2</v>
      </c>
      <c r="C107" s="4">
        <v>4</v>
      </c>
      <c r="D107" s="4">
        <v>7</v>
      </c>
      <c r="E107" s="4">
        <v>7</v>
      </c>
      <c r="F107" s="4">
        <v>2</v>
      </c>
      <c r="G107" s="4">
        <v>1</v>
      </c>
      <c r="H107" s="4">
        <v>0</v>
      </c>
      <c r="I107" s="4">
        <v>8</v>
      </c>
      <c r="J107" s="4">
        <f t="shared" si="2"/>
        <v>31</v>
      </c>
    </row>
    <row r="108" spans="1:10">
      <c r="A108" s="4" t="s">
        <v>133</v>
      </c>
      <c r="B108" s="4">
        <v>3</v>
      </c>
      <c r="C108" s="4">
        <v>2</v>
      </c>
      <c r="D108" s="4">
        <v>1</v>
      </c>
      <c r="E108" s="4">
        <v>0</v>
      </c>
      <c r="F108" s="4">
        <v>5</v>
      </c>
      <c r="G108" s="4">
        <v>18</v>
      </c>
      <c r="H108" s="4">
        <v>0</v>
      </c>
      <c r="I108" s="4">
        <v>0</v>
      </c>
      <c r="J108" s="4">
        <f t="shared" si="2"/>
        <v>29</v>
      </c>
    </row>
    <row r="109" spans="1:10">
      <c r="A109" s="4" t="s">
        <v>134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26</v>
      </c>
      <c r="J109" s="4">
        <f t="shared" si="2"/>
        <v>26</v>
      </c>
    </row>
    <row r="110" spans="1:10">
      <c r="A110" s="4" t="s">
        <v>135</v>
      </c>
      <c r="B110" s="4">
        <v>7</v>
      </c>
      <c r="C110" s="4">
        <v>2</v>
      </c>
      <c r="D110" s="4">
        <v>0</v>
      </c>
      <c r="E110" s="4">
        <v>1</v>
      </c>
      <c r="F110" s="4">
        <v>0</v>
      </c>
      <c r="G110" s="4">
        <v>0</v>
      </c>
      <c r="H110" s="4">
        <v>1</v>
      </c>
      <c r="I110" s="4">
        <v>11</v>
      </c>
      <c r="J110" s="4">
        <f t="shared" si="2"/>
        <v>22</v>
      </c>
    </row>
    <row r="111" spans="1:10">
      <c r="A111" s="4" t="s">
        <v>136</v>
      </c>
      <c r="B111" s="4">
        <v>0</v>
      </c>
      <c r="C111" s="4">
        <v>0</v>
      </c>
      <c r="D111" s="4">
        <v>2</v>
      </c>
      <c r="E111" s="4">
        <v>0</v>
      </c>
      <c r="F111" s="4">
        <v>0</v>
      </c>
      <c r="G111" s="4">
        <v>1</v>
      </c>
      <c r="H111" s="4">
        <v>5</v>
      </c>
      <c r="I111" s="4">
        <v>12</v>
      </c>
      <c r="J111" s="4">
        <f t="shared" si="2"/>
        <v>20</v>
      </c>
    </row>
    <row r="112" spans="1:10">
      <c r="A112" s="4" t="s">
        <v>19</v>
      </c>
      <c r="B112" s="4">
        <v>0</v>
      </c>
      <c r="C112" s="4">
        <v>4</v>
      </c>
      <c r="D112" s="4">
        <v>4</v>
      </c>
      <c r="E112" s="4">
        <v>11</v>
      </c>
      <c r="F112" s="4">
        <v>0</v>
      </c>
      <c r="G112" s="4">
        <v>0</v>
      </c>
      <c r="H112" s="4">
        <v>0</v>
      </c>
      <c r="I112" s="4">
        <v>1</v>
      </c>
      <c r="J112" s="4">
        <f t="shared" si="2"/>
        <v>20</v>
      </c>
    </row>
    <row r="113" spans="1:10">
      <c r="A113" s="4" t="s">
        <v>137</v>
      </c>
      <c r="B113" s="4">
        <v>17</v>
      </c>
      <c r="C113" s="4">
        <v>0</v>
      </c>
      <c r="D113" s="4">
        <v>0</v>
      </c>
      <c r="E113" s="4">
        <v>2</v>
      </c>
      <c r="F113" s="4">
        <v>0</v>
      </c>
      <c r="G113" s="4">
        <v>1</v>
      </c>
      <c r="H113" s="4">
        <v>0</v>
      </c>
      <c r="I113" s="4">
        <v>0</v>
      </c>
      <c r="J113" s="4">
        <f t="shared" si="2"/>
        <v>20</v>
      </c>
    </row>
    <row r="114" spans="1:10">
      <c r="A114" s="4" t="s">
        <v>138</v>
      </c>
      <c r="B114" s="4">
        <v>0</v>
      </c>
      <c r="C114" s="4">
        <v>0</v>
      </c>
      <c r="D114" s="4">
        <v>1</v>
      </c>
      <c r="E114" s="4">
        <v>0</v>
      </c>
      <c r="F114" s="4">
        <v>14</v>
      </c>
      <c r="G114" s="4">
        <v>0</v>
      </c>
      <c r="H114" s="4">
        <v>3</v>
      </c>
      <c r="I114" s="4">
        <v>1</v>
      </c>
      <c r="J114" s="4">
        <f t="shared" si="2"/>
        <v>19</v>
      </c>
    </row>
    <row r="115" spans="1:10">
      <c r="A115" s="4" t="s">
        <v>139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17</v>
      </c>
      <c r="J115" s="4">
        <f t="shared" si="2"/>
        <v>17</v>
      </c>
    </row>
    <row r="116" spans="1:10">
      <c r="A116" s="4" t="s">
        <v>140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16</v>
      </c>
      <c r="J116" s="4">
        <f t="shared" si="2"/>
        <v>16</v>
      </c>
    </row>
    <row r="117" spans="1:10">
      <c r="A117" s="4" t="s">
        <v>141</v>
      </c>
      <c r="B117" s="4">
        <v>0</v>
      </c>
      <c r="C117" s="4">
        <v>0</v>
      </c>
      <c r="D117" s="4">
        <v>0</v>
      </c>
      <c r="E117" s="4">
        <v>1</v>
      </c>
      <c r="F117" s="4">
        <v>0</v>
      </c>
      <c r="G117" s="4">
        <v>7</v>
      </c>
      <c r="H117" s="4">
        <v>4</v>
      </c>
      <c r="I117" s="4">
        <v>4</v>
      </c>
      <c r="J117" s="4">
        <f t="shared" si="2"/>
        <v>16</v>
      </c>
    </row>
    <row r="118" spans="1:10">
      <c r="A118" s="4" t="s">
        <v>142</v>
      </c>
      <c r="B118" s="4">
        <v>0</v>
      </c>
      <c r="C118" s="4">
        <v>0</v>
      </c>
      <c r="D118" s="4"/>
      <c r="E118" s="4">
        <v>16</v>
      </c>
      <c r="F118" s="4"/>
      <c r="G118" s="4"/>
      <c r="H118" s="4"/>
      <c r="I118" s="4"/>
      <c r="J118" s="4">
        <f t="shared" si="2"/>
        <v>16</v>
      </c>
    </row>
    <row r="119" spans="1:10">
      <c r="A119" s="4" t="s">
        <v>143</v>
      </c>
      <c r="B119" s="4">
        <v>0</v>
      </c>
      <c r="C119" s="4">
        <v>15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f t="shared" si="2"/>
        <v>15</v>
      </c>
    </row>
    <row r="120" spans="1:10">
      <c r="A120" s="4" t="s">
        <v>144</v>
      </c>
      <c r="B120" s="4" t="s">
        <v>45</v>
      </c>
      <c r="C120" s="4">
        <v>0</v>
      </c>
      <c r="D120" s="4">
        <v>15</v>
      </c>
      <c r="E120" s="4">
        <v>0</v>
      </c>
      <c r="F120" s="4">
        <v>0</v>
      </c>
      <c r="G120" s="4">
        <v>0</v>
      </c>
      <c r="H120" s="4">
        <v>0</v>
      </c>
      <c r="I120" s="4"/>
      <c r="J120" s="4">
        <f t="shared" si="2"/>
        <v>15</v>
      </c>
    </row>
    <row r="121" spans="1:10">
      <c r="A121" s="4" t="s">
        <v>145</v>
      </c>
      <c r="B121" s="4">
        <v>0</v>
      </c>
      <c r="C121" s="4">
        <v>0</v>
      </c>
      <c r="D121" s="4">
        <v>8</v>
      </c>
      <c r="E121" s="4">
        <v>4</v>
      </c>
      <c r="F121" s="4">
        <v>2</v>
      </c>
      <c r="G121" s="4">
        <v>0</v>
      </c>
      <c r="H121" s="4">
        <v>0</v>
      </c>
      <c r="I121" s="4">
        <v>0</v>
      </c>
      <c r="J121" s="4">
        <f t="shared" si="2"/>
        <v>14</v>
      </c>
    </row>
    <row r="122" spans="1:10">
      <c r="A122" s="4" t="s">
        <v>146</v>
      </c>
      <c r="B122" s="4"/>
      <c r="C122" s="4"/>
      <c r="D122" s="4">
        <v>13</v>
      </c>
      <c r="E122" s="4"/>
      <c r="F122" s="4"/>
      <c r="G122" s="4"/>
      <c r="H122" s="4"/>
      <c r="I122" s="4"/>
      <c r="J122" s="4">
        <f t="shared" si="2"/>
        <v>13</v>
      </c>
    </row>
    <row r="123" spans="1:10">
      <c r="A123" s="4" t="s">
        <v>147</v>
      </c>
      <c r="B123" s="4">
        <v>0</v>
      </c>
      <c r="C123" s="4">
        <v>2</v>
      </c>
      <c r="D123" s="4">
        <v>2</v>
      </c>
      <c r="E123" s="4">
        <v>0</v>
      </c>
      <c r="F123" s="4">
        <v>0</v>
      </c>
      <c r="G123" s="4">
        <v>0</v>
      </c>
      <c r="H123" s="4">
        <v>0</v>
      </c>
      <c r="I123" s="4">
        <v>7</v>
      </c>
      <c r="J123" s="4">
        <f t="shared" si="2"/>
        <v>11</v>
      </c>
    </row>
    <row r="124" spans="1:10">
      <c r="A124" s="4" t="s">
        <v>148</v>
      </c>
      <c r="B124" s="4">
        <v>9</v>
      </c>
      <c r="C124" s="4">
        <v>0</v>
      </c>
      <c r="D124" s="4">
        <v>0</v>
      </c>
      <c r="E124" s="4"/>
      <c r="F124" s="4"/>
      <c r="G124" s="4">
        <v>0</v>
      </c>
      <c r="H124" s="4"/>
      <c r="I124" s="4">
        <v>0</v>
      </c>
      <c r="J124" s="4">
        <f t="shared" si="2"/>
        <v>9</v>
      </c>
    </row>
    <row r="125" spans="1:10">
      <c r="A125" s="4" t="s">
        <v>149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9</v>
      </c>
      <c r="I125" s="4"/>
      <c r="J125" s="4">
        <f t="shared" si="2"/>
        <v>9</v>
      </c>
    </row>
    <row r="126" spans="1:10">
      <c r="A126" s="4" t="s">
        <v>150</v>
      </c>
      <c r="B126" s="4">
        <v>3</v>
      </c>
      <c r="C126" s="4">
        <v>0</v>
      </c>
      <c r="D126" s="4">
        <v>1</v>
      </c>
      <c r="E126" s="4">
        <v>0</v>
      </c>
      <c r="F126" s="4">
        <v>1</v>
      </c>
      <c r="G126" s="4">
        <v>1</v>
      </c>
      <c r="H126" s="4">
        <v>1</v>
      </c>
      <c r="I126" s="4">
        <v>1</v>
      </c>
      <c r="J126" s="4">
        <f t="shared" si="2"/>
        <v>8</v>
      </c>
    </row>
    <row r="127" spans="1:10">
      <c r="A127" s="4" t="s">
        <v>151</v>
      </c>
      <c r="B127" s="4">
        <v>0</v>
      </c>
      <c r="C127" s="4">
        <v>4</v>
      </c>
      <c r="D127" s="4">
        <v>4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f t="shared" si="2"/>
        <v>8</v>
      </c>
    </row>
    <row r="128" spans="1:10">
      <c r="A128" s="4" t="s">
        <v>152</v>
      </c>
      <c r="B128" s="4"/>
      <c r="C128" s="4"/>
      <c r="D128" s="4"/>
      <c r="E128" s="4">
        <v>8</v>
      </c>
      <c r="F128" s="4"/>
      <c r="G128" s="4"/>
      <c r="H128" s="4"/>
      <c r="I128" s="4"/>
      <c r="J128" s="4">
        <f t="shared" si="2"/>
        <v>8</v>
      </c>
    </row>
    <row r="129" spans="1:10">
      <c r="A129" s="4" t="s">
        <v>153</v>
      </c>
      <c r="B129" s="4">
        <v>2</v>
      </c>
      <c r="C129" s="4">
        <v>0</v>
      </c>
      <c r="D129" s="4">
        <v>0</v>
      </c>
      <c r="E129" s="4">
        <v>1</v>
      </c>
      <c r="F129" s="4">
        <v>0</v>
      </c>
      <c r="G129" s="4">
        <v>1</v>
      </c>
      <c r="H129" s="4">
        <v>3</v>
      </c>
      <c r="I129" s="4">
        <v>0</v>
      </c>
      <c r="J129" s="4">
        <f t="shared" si="2"/>
        <v>7</v>
      </c>
    </row>
    <row r="130" spans="1:10">
      <c r="A130" s="4" t="s">
        <v>154</v>
      </c>
      <c r="B130" s="4"/>
      <c r="C130" s="4">
        <v>0</v>
      </c>
      <c r="D130" s="4">
        <v>0</v>
      </c>
      <c r="E130" s="4">
        <v>0</v>
      </c>
      <c r="F130" s="4">
        <v>7</v>
      </c>
      <c r="G130" s="4">
        <v>0</v>
      </c>
      <c r="H130" s="4">
        <v>0</v>
      </c>
      <c r="I130" s="4"/>
      <c r="J130" s="4">
        <f t="shared" ref="J130:J161" si="3">SUM(B130:I130)</f>
        <v>7</v>
      </c>
    </row>
    <row r="131" spans="1:10">
      <c r="A131" s="4" t="s">
        <v>155</v>
      </c>
      <c r="B131" s="4"/>
      <c r="C131" s="4"/>
      <c r="D131" s="4"/>
      <c r="E131" s="4"/>
      <c r="F131" s="4">
        <v>3</v>
      </c>
      <c r="G131" s="4">
        <v>4</v>
      </c>
      <c r="H131" s="4"/>
      <c r="I131" s="4"/>
      <c r="J131" s="4">
        <f t="shared" si="3"/>
        <v>7</v>
      </c>
    </row>
    <row r="132" spans="1:10">
      <c r="A132" s="4" t="s">
        <v>156</v>
      </c>
      <c r="B132" s="4">
        <v>3</v>
      </c>
      <c r="C132" s="4">
        <v>0</v>
      </c>
      <c r="D132" s="4"/>
      <c r="E132" s="4">
        <v>1</v>
      </c>
      <c r="F132" s="4">
        <v>0</v>
      </c>
      <c r="G132" s="4">
        <v>2</v>
      </c>
      <c r="H132" s="4">
        <v>0</v>
      </c>
      <c r="I132" s="4">
        <v>0</v>
      </c>
      <c r="J132" s="4">
        <f t="shared" si="3"/>
        <v>6</v>
      </c>
    </row>
    <row r="133" spans="1:10">
      <c r="A133" s="4" t="s">
        <v>157</v>
      </c>
      <c r="B133" s="4">
        <v>0</v>
      </c>
      <c r="C133" s="4">
        <v>0</v>
      </c>
      <c r="D133" s="4">
        <v>0</v>
      </c>
      <c r="E133" s="4">
        <v>1</v>
      </c>
      <c r="F133" s="4">
        <v>0</v>
      </c>
      <c r="G133" s="4">
        <v>5</v>
      </c>
      <c r="H133" s="4">
        <v>0</v>
      </c>
      <c r="I133" s="4">
        <v>0</v>
      </c>
      <c r="J133" s="4">
        <f t="shared" si="3"/>
        <v>6</v>
      </c>
    </row>
    <row r="134" spans="1:10">
      <c r="A134" s="4" t="s">
        <v>158</v>
      </c>
      <c r="B134" s="4"/>
      <c r="C134" s="4"/>
      <c r="D134" s="4"/>
      <c r="E134" s="4">
        <v>5</v>
      </c>
      <c r="F134" s="4">
        <v>0</v>
      </c>
      <c r="G134" s="4"/>
      <c r="H134" s="4"/>
      <c r="I134" s="4"/>
      <c r="J134" s="4">
        <f t="shared" si="3"/>
        <v>5</v>
      </c>
    </row>
    <row r="135" spans="1:10">
      <c r="A135" s="4" t="s">
        <v>159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4</v>
      </c>
      <c r="I135" s="4">
        <v>0</v>
      </c>
      <c r="J135" s="4">
        <f t="shared" si="3"/>
        <v>4</v>
      </c>
    </row>
    <row r="136" spans="1:10">
      <c r="A136" s="4" t="s">
        <v>160</v>
      </c>
      <c r="B136" s="4">
        <v>1</v>
      </c>
      <c r="C136" s="4">
        <v>1</v>
      </c>
      <c r="D136" s="4">
        <v>0</v>
      </c>
      <c r="E136" s="4">
        <v>0</v>
      </c>
      <c r="F136" s="4">
        <v>0</v>
      </c>
      <c r="G136" s="4">
        <v>2</v>
      </c>
      <c r="H136" s="4">
        <v>0</v>
      </c>
      <c r="I136" s="4">
        <v>0</v>
      </c>
      <c r="J136" s="4">
        <f t="shared" si="3"/>
        <v>4</v>
      </c>
    </row>
    <row r="137" spans="1:10">
      <c r="A137" s="4" t="s">
        <v>161</v>
      </c>
      <c r="B137" s="4">
        <v>0</v>
      </c>
      <c r="C137" s="4"/>
      <c r="D137" s="4">
        <v>3</v>
      </c>
      <c r="E137" s="4"/>
      <c r="F137" s="4">
        <v>1</v>
      </c>
      <c r="G137" s="4"/>
      <c r="H137" s="4"/>
      <c r="I137" s="4"/>
      <c r="J137" s="4">
        <f t="shared" si="3"/>
        <v>4</v>
      </c>
    </row>
    <row r="138" spans="1:10">
      <c r="A138" s="4" t="s">
        <v>162</v>
      </c>
      <c r="B138" s="4">
        <v>0</v>
      </c>
      <c r="C138" s="4">
        <v>0</v>
      </c>
      <c r="D138" s="4">
        <v>3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f t="shared" si="3"/>
        <v>3</v>
      </c>
    </row>
    <row r="139" spans="1:10">
      <c r="A139" s="4" t="s">
        <v>163</v>
      </c>
      <c r="B139" s="4">
        <v>0</v>
      </c>
      <c r="C139" s="4">
        <v>0</v>
      </c>
      <c r="D139" s="4">
        <v>0</v>
      </c>
      <c r="E139" s="4">
        <v>0</v>
      </c>
      <c r="F139" s="4">
        <v>1</v>
      </c>
      <c r="G139" s="4">
        <v>0</v>
      </c>
      <c r="H139" s="4">
        <v>1</v>
      </c>
      <c r="I139" s="4">
        <v>0</v>
      </c>
      <c r="J139" s="4">
        <f t="shared" si="3"/>
        <v>2</v>
      </c>
    </row>
    <row r="140" spans="1:10">
      <c r="A140" s="4" t="s">
        <v>164</v>
      </c>
      <c r="B140" s="4">
        <v>2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f t="shared" si="3"/>
        <v>2</v>
      </c>
    </row>
    <row r="141" spans="1:10">
      <c r="A141" s="4" t="s">
        <v>165</v>
      </c>
      <c r="B141" s="4">
        <v>0</v>
      </c>
      <c r="C141" s="4">
        <v>0</v>
      </c>
      <c r="D141" s="4">
        <v>0</v>
      </c>
      <c r="E141" s="4">
        <v>1</v>
      </c>
      <c r="F141" s="4">
        <v>1</v>
      </c>
      <c r="G141" s="4">
        <v>0</v>
      </c>
      <c r="H141" s="4">
        <v>0</v>
      </c>
      <c r="I141" s="4">
        <v>0</v>
      </c>
      <c r="J141" s="4">
        <f t="shared" si="3"/>
        <v>2</v>
      </c>
    </row>
    <row r="142" spans="1:10">
      <c r="A142" s="4" t="s">
        <v>166</v>
      </c>
      <c r="B142" s="4">
        <v>0</v>
      </c>
      <c r="C142" s="4">
        <v>0</v>
      </c>
      <c r="D142" s="4">
        <v>0</v>
      </c>
      <c r="E142" s="4">
        <v>0</v>
      </c>
      <c r="F142" s="4"/>
      <c r="G142" s="4">
        <v>1</v>
      </c>
      <c r="H142" s="4">
        <v>1</v>
      </c>
      <c r="I142" s="4">
        <v>0</v>
      </c>
      <c r="J142" s="4">
        <f t="shared" si="3"/>
        <v>2</v>
      </c>
    </row>
    <row r="143" spans="1:10">
      <c r="A143" s="4" t="s">
        <v>167</v>
      </c>
      <c r="B143" s="4">
        <v>0</v>
      </c>
      <c r="C143" s="4"/>
      <c r="D143" s="4"/>
      <c r="E143" s="4">
        <v>2</v>
      </c>
      <c r="F143" s="4"/>
      <c r="G143" s="4"/>
      <c r="H143" s="4"/>
      <c r="I143" s="4"/>
      <c r="J143" s="4">
        <f t="shared" si="3"/>
        <v>2</v>
      </c>
    </row>
    <row r="144" spans="1:10">
      <c r="A144" s="4" t="s">
        <v>168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/>
      <c r="I144" s="4">
        <v>1</v>
      </c>
      <c r="J144" s="4">
        <f t="shared" si="3"/>
        <v>1</v>
      </c>
    </row>
    <row r="145" spans="1:10">
      <c r="A145" s="4" t="s">
        <v>169</v>
      </c>
      <c r="B145" s="4">
        <v>0</v>
      </c>
      <c r="C145" s="4">
        <v>0</v>
      </c>
      <c r="D145" s="4">
        <v>1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f t="shared" si="3"/>
        <v>1</v>
      </c>
    </row>
    <row r="146" spans="1:10">
      <c r="A146" s="4" t="s">
        <v>170</v>
      </c>
      <c r="B146" s="4"/>
      <c r="C146" s="4"/>
      <c r="D146" s="4"/>
      <c r="E146" s="4"/>
      <c r="F146" s="4"/>
      <c r="G146" s="4"/>
      <c r="H146" s="4">
        <v>1</v>
      </c>
      <c r="I146" s="4">
        <v>0</v>
      </c>
      <c r="J146" s="4">
        <f t="shared" si="3"/>
        <v>1</v>
      </c>
    </row>
    <row r="147" spans="1:10">
      <c r="A147" s="4" t="s">
        <v>171</v>
      </c>
      <c r="B147" s="4">
        <v>1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f t="shared" si="3"/>
        <v>1</v>
      </c>
    </row>
    <row r="148" spans="1:10">
      <c r="A148" s="4" t="s">
        <v>172</v>
      </c>
      <c r="B148" s="4">
        <v>0</v>
      </c>
      <c r="C148" s="4">
        <v>1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f t="shared" si="3"/>
        <v>1</v>
      </c>
    </row>
    <row r="149" spans="1:10">
      <c r="A149" s="4" t="s">
        <v>173</v>
      </c>
      <c r="B149" s="4"/>
      <c r="C149" s="4"/>
      <c r="D149" s="4"/>
      <c r="E149" s="4"/>
      <c r="F149" s="4"/>
      <c r="G149" s="4">
        <v>1</v>
      </c>
      <c r="H149" s="4"/>
      <c r="I149" s="4"/>
      <c r="J149" s="4">
        <f t="shared" si="3"/>
        <v>1</v>
      </c>
    </row>
    <row r="150" spans="1:10">
      <c r="A150" s="4" t="s">
        <v>174</v>
      </c>
      <c r="B150" s="4"/>
      <c r="C150" s="4"/>
      <c r="D150" s="4"/>
      <c r="E150" s="4"/>
      <c r="F150" s="4"/>
      <c r="G150" s="4"/>
      <c r="H150" s="4">
        <v>1</v>
      </c>
      <c r="I150" s="4"/>
      <c r="J150" s="4">
        <f t="shared" si="3"/>
        <v>1</v>
      </c>
    </row>
    <row r="151" spans="1:10">
      <c r="A151" s="4" t="s">
        <v>175</v>
      </c>
      <c r="B151" s="4">
        <v>0</v>
      </c>
      <c r="C151" s="4">
        <v>0</v>
      </c>
      <c r="D151" s="4">
        <v>0</v>
      </c>
      <c r="E151" s="4"/>
      <c r="F151" s="4"/>
      <c r="G151" s="4"/>
      <c r="H151" s="4">
        <v>1</v>
      </c>
      <c r="I151" s="4"/>
      <c r="J151" s="4">
        <f t="shared" si="3"/>
        <v>1</v>
      </c>
    </row>
    <row r="152" spans="1:10">
      <c r="A152" s="4" t="s">
        <v>176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f t="shared" si="3"/>
        <v>0</v>
      </c>
    </row>
    <row r="153" spans="1:10">
      <c r="A153" s="4" t="s">
        <v>177</v>
      </c>
      <c r="B153" s="4" t="s">
        <v>45</v>
      </c>
      <c r="C153" s="4" t="s">
        <v>45</v>
      </c>
      <c r="D153" s="4" t="s">
        <v>45</v>
      </c>
      <c r="E153" s="4" t="s">
        <v>45</v>
      </c>
      <c r="F153" s="4" t="s">
        <v>45</v>
      </c>
      <c r="G153" s="4" t="s">
        <v>45</v>
      </c>
      <c r="H153" s="4" t="s">
        <v>45</v>
      </c>
      <c r="I153" s="4" t="s">
        <v>45</v>
      </c>
      <c r="J153" s="4">
        <f t="shared" si="3"/>
        <v>0</v>
      </c>
    </row>
    <row r="154" spans="1:10">
      <c r="A154" s="4" t="s">
        <v>178</v>
      </c>
      <c r="B154" s="4"/>
      <c r="C154" s="4"/>
      <c r="D154" s="4"/>
      <c r="E154" s="4"/>
      <c r="F154" s="4">
        <v>0</v>
      </c>
      <c r="G154" s="4">
        <v>0</v>
      </c>
      <c r="H154" s="4"/>
      <c r="I154" s="4">
        <v>0</v>
      </c>
      <c r="J154" s="4">
        <f t="shared" si="3"/>
        <v>0</v>
      </c>
    </row>
    <row r="155" spans="1:10">
      <c r="A155" s="4" t="s">
        <v>179</v>
      </c>
      <c r="B155" s="4">
        <v>0</v>
      </c>
      <c r="C155" s="4"/>
      <c r="D155" s="4"/>
      <c r="E155" s="4"/>
      <c r="F155" s="4"/>
      <c r="G155" s="4"/>
      <c r="H155" s="4"/>
      <c r="I155" s="4">
        <v>0</v>
      </c>
      <c r="J155" s="4">
        <f t="shared" si="3"/>
        <v>0</v>
      </c>
    </row>
    <row r="156" spans="1:10">
      <c r="A156" s="4" t="s">
        <v>180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f t="shared" si="3"/>
        <v>0</v>
      </c>
    </row>
    <row r="157" spans="1:10">
      <c r="A157" s="4" t="s">
        <v>181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f t="shared" si="3"/>
        <v>0</v>
      </c>
    </row>
    <row r="158" spans="1:10">
      <c r="A158" s="4" t="s">
        <v>182</v>
      </c>
      <c r="B158" s="4"/>
      <c r="C158" s="4">
        <v>0</v>
      </c>
      <c r="D158" s="4">
        <v>0</v>
      </c>
      <c r="E158" s="4">
        <v>0</v>
      </c>
      <c r="F158" s="4" t="s">
        <v>45</v>
      </c>
      <c r="G158" s="4" t="s">
        <v>45</v>
      </c>
      <c r="H158" s="4" t="s">
        <v>45</v>
      </c>
      <c r="I158" s="4">
        <v>0</v>
      </c>
      <c r="J158" s="4">
        <f t="shared" si="3"/>
        <v>0</v>
      </c>
    </row>
    <row r="159" spans="1:10">
      <c r="A159" s="4" t="s">
        <v>183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f t="shared" si="3"/>
        <v>0</v>
      </c>
    </row>
    <row r="160" spans="1:10">
      <c r="A160" s="4" t="s">
        <v>184</v>
      </c>
      <c r="B160" s="4"/>
      <c r="C160" s="4"/>
      <c r="D160" s="4"/>
      <c r="E160" s="4">
        <v>0</v>
      </c>
      <c r="F160" s="4"/>
      <c r="G160" s="4"/>
      <c r="H160" s="4"/>
      <c r="I160" s="4"/>
      <c r="J160" s="4">
        <f t="shared" si="3"/>
        <v>0</v>
      </c>
    </row>
    <row r="161" spans="1:10">
      <c r="A161" s="4" t="s">
        <v>185</v>
      </c>
      <c r="B161" s="4">
        <v>0</v>
      </c>
      <c r="C161" s="4">
        <v>0</v>
      </c>
      <c r="D161" s="4"/>
      <c r="E161" s="4"/>
      <c r="F161" s="4"/>
      <c r="G161" s="4"/>
      <c r="H161" s="4"/>
      <c r="I161" s="4"/>
      <c r="J161" s="4">
        <f t="shared" si="3"/>
        <v>0</v>
      </c>
    </row>
  </sheetData>
  <autoFilter ref="A1:J1" xr:uid="{46802437-10BE-429B-8D78-9D3FB7255E4F}">
    <sortState xmlns:xlrd2="http://schemas.microsoft.com/office/spreadsheetml/2017/richdata2" ref="A2:J161">
      <sortCondition descending="1" ref="J1"/>
    </sortState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070A-F714-47F9-A874-214BA62B7D96}">
  <dimension ref="C1:L25"/>
  <sheetViews>
    <sheetView topLeftCell="C1" zoomScale="85" zoomScaleNormal="85" workbookViewId="0">
      <selection activeCell="M19" sqref="M19"/>
    </sheetView>
  </sheetViews>
  <sheetFormatPr baseColWidth="10" defaultRowHeight="14.25"/>
  <cols>
    <col min="1" max="16384" width="11.42578125" style="85"/>
  </cols>
  <sheetData>
    <row r="1" spans="3:12">
      <c r="C1" s="85">
        <v>2016</v>
      </c>
      <c r="D1" s="85">
        <v>2017</v>
      </c>
      <c r="E1" s="85">
        <v>2018</v>
      </c>
      <c r="F1" s="85">
        <v>2019</v>
      </c>
      <c r="G1" s="85">
        <v>2020</v>
      </c>
      <c r="H1" s="85">
        <v>2021</v>
      </c>
      <c r="I1" s="85">
        <v>2022</v>
      </c>
      <c r="J1" s="85">
        <v>2023</v>
      </c>
      <c r="K1" s="85">
        <v>2024</v>
      </c>
    </row>
    <row r="2" spans="3:12">
      <c r="C2" s="86">
        <v>3872847</v>
      </c>
      <c r="D2" s="86">
        <v>4128574</v>
      </c>
      <c r="E2" s="86">
        <v>5084004</v>
      </c>
      <c r="F2" s="86">
        <v>5829630</v>
      </c>
      <c r="G2" s="86">
        <v>5847389</v>
      </c>
      <c r="H2" s="86">
        <v>6272056</v>
      </c>
      <c r="I2" s="86">
        <v>6738776</v>
      </c>
      <c r="J2" s="86">
        <v>6914563</v>
      </c>
      <c r="K2" s="86">
        <v>5216911.0629999982</v>
      </c>
    </row>
    <row r="5" spans="3:12" ht="15.75">
      <c r="D5" s="117" t="s">
        <v>407</v>
      </c>
      <c r="K5" s="86">
        <f>F2+'graf 6'!F10</f>
        <v>9726487</v>
      </c>
      <c r="L5" s="86">
        <f>G2+'graf 6'!G10</f>
        <v>9586306</v>
      </c>
    </row>
    <row r="10" spans="3:12">
      <c r="L10" s="87">
        <f>(J2-C2)/C2</f>
        <v>0.78539534352893359</v>
      </c>
    </row>
    <row r="11" spans="3:12">
      <c r="L11" s="87"/>
    </row>
    <row r="23" spans="3:12">
      <c r="C23" s="85">
        <v>2016</v>
      </c>
      <c r="D23" s="85">
        <v>2017</v>
      </c>
      <c r="E23" s="85">
        <v>2018</v>
      </c>
      <c r="F23" s="85">
        <v>2019</v>
      </c>
      <c r="G23" s="85">
        <v>2020</v>
      </c>
      <c r="H23" s="85">
        <v>2021</v>
      </c>
      <c r="I23" s="85">
        <v>2022</v>
      </c>
      <c r="J23" s="85">
        <v>2023</v>
      </c>
      <c r="K23" s="85">
        <v>2024</v>
      </c>
    </row>
    <row r="24" spans="3:12">
      <c r="C24" s="86">
        <f>+C2+'graf 6'!C10</f>
        <v>7047044</v>
      </c>
      <c r="D24" s="86">
        <f>+D2+'graf 6'!D10</f>
        <v>7345762</v>
      </c>
      <c r="E24" s="86">
        <f>+E2+'graf 6'!E10</f>
        <v>8976380</v>
      </c>
      <c r="F24" s="86">
        <f>+F2+'graf 6'!F10</f>
        <v>9726487</v>
      </c>
      <c r="G24" s="86">
        <f>+G2+'graf 6'!G10</f>
        <v>9586306</v>
      </c>
      <c r="H24" s="86">
        <f>+H2+'graf 6'!H10</f>
        <v>10114782</v>
      </c>
      <c r="I24" s="86">
        <f>+I2+'graf 6'!I10</f>
        <v>10477495</v>
      </c>
      <c r="J24" s="86">
        <f>+J2+'graf 6'!J10</f>
        <v>10689344</v>
      </c>
      <c r="K24" s="86">
        <f>+K2+'graf 6'!K10</f>
        <v>8082306.0769999996</v>
      </c>
    </row>
    <row r="25" spans="3:12">
      <c r="D25" s="176">
        <f>(D24-C24)/C24</f>
        <v>4.2389120885296019E-2</v>
      </c>
      <c r="E25" s="176">
        <f t="shared" ref="E25:K25" si="0">(E24-D24)/D24</f>
        <v>0.2219807829330708</v>
      </c>
      <c r="F25" s="176">
        <f t="shared" si="0"/>
        <v>8.3564532695808338E-2</v>
      </c>
      <c r="G25" s="176">
        <f t="shared" si="0"/>
        <v>-1.4412295004352548E-2</v>
      </c>
      <c r="H25" s="176">
        <f t="shared" si="0"/>
        <v>5.5128221444214281E-2</v>
      </c>
      <c r="I25" s="176">
        <f t="shared" si="0"/>
        <v>3.585969524602705E-2</v>
      </c>
      <c r="J25" s="176">
        <f t="shared" si="0"/>
        <v>2.0219432221155915E-2</v>
      </c>
      <c r="K25" s="176">
        <f t="shared" si="0"/>
        <v>-0.2438912923936212</v>
      </c>
      <c r="L25" s="177">
        <f>AVERAGE(D25:K25)</f>
        <v>2.510477475344983E-2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4526-53E6-47CB-BB7D-81BE93E0DF65}">
  <dimension ref="B1:G19"/>
  <sheetViews>
    <sheetView workbookViewId="0">
      <selection activeCell="F18" sqref="F18"/>
    </sheetView>
  </sheetViews>
  <sheetFormatPr baseColWidth="10" defaultRowHeight="15.75"/>
  <cols>
    <col min="1" max="1" width="11.42578125" style="52"/>
    <col min="2" max="2" width="19.140625" style="52" bestFit="1" customWidth="1"/>
    <col min="3" max="4" width="14.140625" style="52" bestFit="1" customWidth="1"/>
    <col min="5" max="16384" width="11.42578125" style="52"/>
  </cols>
  <sheetData>
    <row r="1" spans="2:7">
      <c r="G1" s="52" t="s">
        <v>408</v>
      </c>
    </row>
    <row r="2" spans="2:7">
      <c r="B2" s="52" t="s">
        <v>143</v>
      </c>
      <c r="C2" s="53">
        <v>238433580</v>
      </c>
      <c r="D2" s="53">
        <f>C2/1000</f>
        <v>238433.58</v>
      </c>
      <c r="E2" s="155">
        <f>D2/$D$15</f>
        <v>2.2305726151202541E-2</v>
      </c>
    </row>
    <row r="3" spans="2:7">
      <c r="B3" s="52" t="s">
        <v>83</v>
      </c>
      <c r="C3" s="53">
        <v>264451675.36699998</v>
      </c>
      <c r="D3" s="53">
        <f t="shared" ref="D3:D11" si="0">C3/1000</f>
        <v>264451.67536699999</v>
      </c>
      <c r="E3" s="155">
        <f t="shared" ref="E3:E11" si="1">D3/$D$15</f>
        <v>2.4739747861702271E-2</v>
      </c>
    </row>
    <row r="4" spans="2:7">
      <c r="B4" s="52" t="s">
        <v>12</v>
      </c>
      <c r="C4" s="53">
        <v>270298917</v>
      </c>
      <c r="D4" s="53">
        <f t="shared" si="0"/>
        <v>270298.91700000002</v>
      </c>
      <c r="E4" s="155">
        <f t="shared" si="1"/>
        <v>2.5286763808892297E-2</v>
      </c>
    </row>
    <row r="5" spans="2:7">
      <c r="B5" s="52" t="s">
        <v>200</v>
      </c>
      <c r="C5" s="53">
        <v>297133191.25099999</v>
      </c>
      <c r="D5" s="53">
        <f t="shared" si="0"/>
        <v>297133.19125099998</v>
      </c>
      <c r="E5" s="155">
        <f t="shared" si="1"/>
        <v>2.7797139960225807E-2</v>
      </c>
    </row>
    <row r="6" spans="2:7">
      <c r="B6" s="52" t="s">
        <v>199</v>
      </c>
      <c r="C6" s="53">
        <v>340464249.514</v>
      </c>
      <c r="D6" s="53">
        <f t="shared" si="0"/>
        <v>340464.24951400002</v>
      </c>
      <c r="E6" s="155">
        <f t="shared" si="1"/>
        <v>3.185080857291149E-2</v>
      </c>
    </row>
    <row r="7" spans="2:7">
      <c r="B7" s="52" t="s">
        <v>202</v>
      </c>
      <c r="C7" s="53">
        <v>374513751</v>
      </c>
      <c r="D7" s="53">
        <f t="shared" si="0"/>
        <v>374513.75099999999</v>
      </c>
      <c r="E7" s="155">
        <f t="shared" si="1"/>
        <v>3.5036177243430465E-2</v>
      </c>
    </row>
    <row r="8" spans="2:7">
      <c r="B8" s="52" t="s">
        <v>319</v>
      </c>
      <c r="C8" s="53">
        <v>472888201</v>
      </c>
      <c r="D8" s="53">
        <f t="shared" si="0"/>
        <v>472888.201</v>
      </c>
      <c r="E8" s="155">
        <f t="shared" si="1"/>
        <v>4.4239216269960066E-2</v>
      </c>
    </row>
    <row r="9" spans="2:7">
      <c r="B9" s="52" t="s">
        <v>218</v>
      </c>
      <c r="C9" s="53">
        <v>503939087</v>
      </c>
      <c r="D9" s="53">
        <f t="shared" si="0"/>
        <v>503939.087</v>
      </c>
      <c r="E9" s="155">
        <f t="shared" si="1"/>
        <v>4.7144061132282769E-2</v>
      </c>
    </row>
    <row r="10" spans="2:7">
      <c r="B10" s="52" t="s">
        <v>320</v>
      </c>
      <c r="C10" s="53">
        <v>1198409747</v>
      </c>
      <c r="D10" s="53">
        <f t="shared" si="0"/>
        <v>1198409.747</v>
      </c>
      <c r="E10" s="155">
        <f t="shared" si="1"/>
        <v>0.11211256247343149</v>
      </c>
    </row>
    <row r="11" spans="2:7">
      <c r="B11" s="52" t="s">
        <v>19</v>
      </c>
      <c r="C11" s="53">
        <v>2736899899</v>
      </c>
      <c r="D11" s="53">
        <f t="shared" si="0"/>
        <v>2736899.8990000002</v>
      </c>
      <c r="E11" s="155">
        <f t="shared" si="1"/>
        <v>0.25604002443929208</v>
      </c>
    </row>
    <row r="14" spans="2:7">
      <c r="D14" s="53"/>
    </row>
    <row r="15" spans="2:7">
      <c r="C15" s="52" t="s">
        <v>409</v>
      </c>
      <c r="D15" s="53">
        <f>'Graf 7 (2)'!J2+'graf 6'!J10</f>
        <v>10689344</v>
      </c>
    </row>
    <row r="19" spans="6:6">
      <c r="F19" s="88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2C43-A9B6-4F0D-8B1A-BAFC54370F15}">
  <dimension ref="C1:DF2"/>
  <sheetViews>
    <sheetView zoomScale="70" zoomScaleNormal="70" workbookViewId="0">
      <selection activeCell="N14" sqref="N14"/>
    </sheetView>
  </sheetViews>
  <sheetFormatPr baseColWidth="10" defaultRowHeight="15"/>
  <cols>
    <col min="1" max="16384" width="11.42578125" style="54"/>
  </cols>
  <sheetData>
    <row r="1" spans="3:110">
      <c r="C1" s="186">
        <v>2016</v>
      </c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8"/>
      <c r="O1" s="186">
        <v>2017</v>
      </c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8"/>
      <c r="AA1" s="186">
        <v>2018</v>
      </c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8"/>
      <c r="AM1" s="186">
        <v>2019</v>
      </c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8"/>
      <c r="AY1" s="186">
        <v>2020</v>
      </c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8"/>
      <c r="BK1" s="189">
        <v>2021</v>
      </c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84">
        <v>2022</v>
      </c>
      <c r="BX1" s="185"/>
      <c r="BY1" s="185"/>
      <c r="BZ1" s="185"/>
      <c r="CA1" s="185"/>
      <c r="CB1" s="185"/>
      <c r="CC1" s="185"/>
      <c r="CD1" s="185"/>
      <c r="CE1" s="185"/>
      <c r="CF1" s="185"/>
      <c r="CG1" s="185"/>
      <c r="CH1" s="185"/>
      <c r="CI1" s="184">
        <v>2023</v>
      </c>
      <c r="CJ1" s="185"/>
      <c r="CK1" s="185"/>
      <c r="CL1" s="185"/>
      <c r="CM1" s="185"/>
      <c r="CN1" s="185"/>
      <c r="CO1" s="185"/>
      <c r="CP1" s="185"/>
      <c r="CQ1" s="185"/>
      <c r="CR1" s="185"/>
      <c r="CS1" s="185"/>
      <c r="CT1" s="185"/>
      <c r="CU1" s="184">
        <v>2024</v>
      </c>
      <c r="CV1" s="185"/>
      <c r="CW1" s="185"/>
      <c r="CX1" s="185"/>
      <c r="CY1" s="185"/>
      <c r="CZ1" s="185"/>
      <c r="DA1" s="185"/>
      <c r="DB1" s="185"/>
      <c r="DC1" s="185"/>
      <c r="DD1" s="185"/>
      <c r="DE1" s="185"/>
      <c r="DF1" s="185"/>
    </row>
    <row r="2" spans="3:110">
      <c r="C2" s="55">
        <v>3.6332137599999998</v>
      </c>
      <c r="D2" s="55">
        <v>3.8630453949999999</v>
      </c>
      <c r="E2" s="55">
        <v>4.0334625209999997</v>
      </c>
      <c r="F2" s="55">
        <v>3.9631351430000001</v>
      </c>
      <c r="G2" s="55">
        <v>4.0418400769999998</v>
      </c>
      <c r="H2" s="55">
        <v>4.1051126709999997</v>
      </c>
      <c r="I2" s="55">
        <v>4.2554677549999997</v>
      </c>
      <c r="J2" s="55">
        <v>4.2394842600000002</v>
      </c>
      <c r="K2" s="55">
        <v>4.117899467</v>
      </c>
      <c r="L2" s="55">
        <v>4.0365489889999999</v>
      </c>
      <c r="M2" s="55">
        <v>4.2984578449999997</v>
      </c>
      <c r="N2" s="55">
        <v>4.1430321350000003</v>
      </c>
      <c r="O2" s="55">
        <v>4.074909377</v>
      </c>
      <c r="P2" s="55">
        <v>4.2262565399999996</v>
      </c>
      <c r="Q2" s="55">
        <v>4.3461878680000003</v>
      </c>
      <c r="R2" s="55">
        <v>4.4103423099999999</v>
      </c>
      <c r="S2" s="55">
        <v>4.6041284080000002</v>
      </c>
      <c r="T2" s="55">
        <v>4.6783138710000003</v>
      </c>
      <c r="U2" s="55">
        <v>4.6660782300000001</v>
      </c>
      <c r="V2" s="55">
        <v>4.4739455970000002</v>
      </c>
      <c r="W2" s="55">
        <v>4.3012136200000004</v>
      </c>
      <c r="X2" s="55">
        <v>4.2509482839999997</v>
      </c>
      <c r="Y2" s="55">
        <v>4.3314169140000001</v>
      </c>
      <c r="Z2" s="55">
        <v>4.2833561979999999</v>
      </c>
      <c r="AA2" s="55">
        <v>4.2960327630000004</v>
      </c>
      <c r="AB2" s="55">
        <v>4.353573345</v>
      </c>
      <c r="AC2" s="55">
        <v>4.4394432940000002</v>
      </c>
      <c r="AD2" s="55">
        <v>4.3782650890000001</v>
      </c>
      <c r="AE2" s="55">
        <v>4.3200631209999996</v>
      </c>
      <c r="AF2" s="55">
        <v>4.2438935000000004</v>
      </c>
      <c r="AG2" s="55">
        <v>4.188226845</v>
      </c>
      <c r="AH2" s="55">
        <v>4.1144823060000002</v>
      </c>
      <c r="AI2" s="55">
        <v>4.0103140110000002</v>
      </c>
      <c r="AJ2" s="55">
        <v>3.8643681669999999</v>
      </c>
      <c r="AK2" s="55">
        <v>3.9464902620000002</v>
      </c>
      <c r="AL2" s="55">
        <v>4.1853608390000003</v>
      </c>
      <c r="AM2" s="55">
        <v>4.2413581870000003</v>
      </c>
      <c r="AN2" s="55">
        <v>4.2791674200000003</v>
      </c>
      <c r="AO2" s="55">
        <v>4.4764809100000003</v>
      </c>
      <c r="AP2" s="55">
        <v>4.6989270679999997</v>
      </c>
      <c r="AQ2" s="55">
        <v>4.6006010159999997</v>
      </c>
      <c r="AR2" s="55">
        <v>4.6291508449999998</v>
      </c>
      <c r="AS2" s="55">
        <v>4.629702</v>
      </c>
      <c r="AT2" s="55">
        <v>4.595861083</v>
      </c>
      <c r="AU2" s="55">
        <v>4.6545039749999999</v>
      </c>
      <c r="AV2" s="55">
        <v>4.8583210939999999</v>
      </c>
      <c r="AW2" s="55">
        <v>5.9362700430000004</v>
      </c>
      <c r="AX2" s="55">
        <v>5.5635790319999998</v>
      </c>
      <c r="AY2" s="55">
        <v>5.0390999340000002</v>
      </c>
      <c r="AZ2" s="55">
        <v>4.7173356450000004</v>
      </c>
      <c r="BA2" s="55">
        <v>4.4736149039999997</v>
      </c>
      <c r="BB2" s="55">
        <v>4.4452855370000002</v>
      </c>
      <c r="BC2" s="55">
        <v>5.0810979449999998</v>
      </c>
      <c r="BD2" s="55">
        <v>5.0981837499999996</v>
      </c>
      <c r="BE2" s="55">
        <v>4.6988168369999999</v>
      </c>
      <c r="BF2" s="55">
        <v>4.6323475439999999</v>
      </c>
      <c r="BG2" s="55">
        <v>4.599057782</v>
      </c>
      <c r="BH2" s="55">
        <v>4.4247825709999997</v>
      </c>
      <c r="BI2" s="55">
        <v>4.395902049</v>
      </c>
      <c r="BJ2" s="55">
        <v>4.4021852160000003</v>
      </c>
      <c r="BK2" s="55">
        <v>4.4566393299999998</v>
      </c>
      <c r="BL2" s="55">
        <v>4.6616689899999999</v>
      </c>
      <c r="BM2" s="55">
        <v>4.7190993409999997</v>
      </c>
      <c r="BN2" s="55">
        <v>5.1724794440000004</v>
      </c>
      <c r="BO2" s="55">
        <v>5.48399225</v>
      </c>
      <c r="BP2" s="55">
        <v>5.6774476549999999</v>
      </c>
      <c r="BQ2" s="55">
        <v>5.5856252319999999</v>
      </c>
      <c r="BR2" s="55">
        <v>5.60965559</v>
      </c>
      <c r="BS2" s="55">
        <v>5.7678370750000001</v>
      </c>
      <c r="BT2" s="55">
        <v>5.5335961999999999</v>
      </c>
      <c r="BU2" s="55">
        <v>5.6934311500000003</v>
      </c>
      <c r="BV2" s="55">
        <v>5.7474443400000004</v>
      </c>
      <c r="BW2" s="55">
        <v>5.8064179249999999</v>
      </c>
      <c r="BX2" s="55">
        <v>5.9938106250000001</v>
      </c>
      <c r="BY2" s="55">
        <v>6.0682165499999998</v>
      </c>
      <c r="BZ2" s="55">
        <v>5.9745201999999997</v>
      </c>
      <c r="CA2" s="55">
        <v>5.9414509000000004</v>
      </c>
      <c r="CB2" s="55">
        <v>5.8119294750000003</v>
      </c>
      <c r="CC2" s="55">
        <v>5.7342166199999998</v>
      </c>
      <c r="CD2" s="55">
        <v>5.5666655</v>
      </c>
      <c r="CE2" s="55">
        <v>5.4432067799999997</v>
      </c>
      <c r="CF2" s="55">
        <v>5.3324246249999998</v>
      </c>
      <c r="CG2" s="55">
        <v>5.0733817749999996</v>
      </c>
      <c r="CH2" s="55">
        <v>4.7134775600000003</v>
      </c>
      <c r="CI2" s="55">
        <v>4.6517482000000001</v>
      </c>
      <c r="CJ2" s="55">
        <v>4.6517482000000001</v>
      </c>
      <c r="CK2" s="55">
        <v>4.8363851249999996</v>
      </c>
      <c r="CL2" s="55">
        <v>5.30431572</v>
      </c>
      <c r="CM2" s="55">
        <v>5.3103784249999997</v>
      </c>
      <c r="CN2" s="55">
        <v>5.0133058799999999</v>
      </c>
      <c r="CO2" s="55">
        <v>4.7840254</v>
      </c>
      <c r="CP2" s="55">
        <v>4.7261541249999999</v>
      </c>
      <c r="CQ2" s="55">
        <v>4.9030748800000001</v>
      </c>
      <c r="CR2" s="55">
        <v>4.9796854250000004</v>
      </c>
      <c r="CS2" s="55">
        <v>4.8832332999999997</v>
      </c>
      <c r="CT2" s="156">
        <v>4.7913741333299997</v>
      </c>
      <c r="CU2" s="156">
        <v>4.9963839999999999</v>
      </c>
      <c r="CV2" s="156">
        <v>5.3755649999999999</v>
      </c>
      <c r="CW2" s="156">
        <v>5.7297919999999998</v>
      </c>
      <c r="CX2" s="156">
        <v>6.0502799999999999</v>
      </c>
      <c r="CY2" s="156">
        <v>5.8763092500000003</v>
      </c>
      <c r="CZ2" s="156">
        <v>5.8516947999999998</v>
      </c>
      <c r="DA2" s="156">
        <v>6.1882875000000004</v>
      </c>
      <c r="DB2" s="156">
        <v>6.3351727999999996</v>
      </c>
      <c r="DC2" s="156">
        <v>6.2960425000000004</v>
      </c>
      <c r="DD2" s="156">
        <v>6.0597659999999998</v>
      </c>
      <c r="DE2" s="156">
        <v>6.1830420000000004</v>
      </c>
      <c r="DF2" s="156">
        <v>6.2332504999999996</v>
      </c>
    </row>
  </sheetData>
  <mergeCells count="9">
    <mergeCell ref="CU1:DF1"/>
    <mergeCell ref="CI1:CT1"/>
    <mergeCell ref="BW1:CH1"/>
    <mergeCell ref="C1:N1"/>
    <mergeCell ref="O1:Z1"/>
    <mergeCell ref="AA1:AL1"/>
    <mergeCell ref="AM1:AX1"/>
    <mergeCell ref="AY1:BJ1"/>
    <mergeCell ref="BK1:BV1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4D76-EB55-4281-B848-31F66F28ADFD}">
  <dimension ref="A1:G25"/>
  <sheetViews>
    <sheetView topLeftCell="A2" workbookViewId="0">
      <selection activeCell="G5" sqref="G5"/>
    </sheetView>
  </sheetViews>
  <sheetFormatPr baseColWidth="10" defaultRowHeight="15"/>
  <cols>
    <col min="2" max="2" width="14" bestFit="1" customWidth="1"/>
    <col min="3" max="3" width="13" bestFit="1" customWidth="1"/>
    <col min="6" max="6" width="13.42578125" bestFit="1" customWidth="1"/>
    <col min="7" max="7" width="13" bestFit="1" customWidth="1"/>
  </cols>
  <sheetData>
    <row r="1" spans="1:7">
      <c r="A1" t="s">
        <v>375</v>
      </c>
    </row>
    <row r="3" spans="1:7">
      <c r="A3" s="112">
        <v>2015</v>
      </c>
      <c r="B3" s="113">
        <v>179243772.68066996</v>
      </c>
      <c r="E3" s="112">
        <v>2015</v>
      </c>
      <c r="F3" s="114">
        <f>B3/1000000</f>
        <v>179.24377268066996</v>
      </c>
    </row>
    <row r="4" spans="1:7">
      <c r="A4" s="112">
        <v>2016</v>
      </c>
      <c r="B4" s="113">
        <v>197090708.2933</v>
      </c>
      <c r="E4" s="112">
        <v>2016</v>
      </c>
      <c r="F4" s="114">
        <f t="shared" ref="F4:F11" si="0">B4/1000000</f>
        <v>197.0907082933</v>
      </c>
    </row>
    <row r="5" spans="1:7">
      <c r="A5" s="112">
        <v>2017</v>
      </c>
      <c r="B5" s="113">
        <v>201415402.6056</v>
      </c>
      <c r="E5" s="112">
        <v>2017</v>
      </c>
      <c r="F5" s="114">
        <f t="shared" si="0"/>
        <v>201.41540260560001</v>
      </c>
    </row>
    <row r="6" spans="1:7">
      <c r="A6" s="112">
        <v>2018</v>
      </c>
      <c r="B6" s="113">
        <v>218870687.66193002</v>
      </c>
      <c r="E6" s="112">
        <v>2018</v>
      </c>
      <c r="F6" s="114">
        <f t="shared" si="0"/>
        <v>218.87068766193002</v>
      </c>
    </row>
    <row r="7" spans="1:7">
      <c r="A7" s="112">
        <v>2019</v>
      </c>
      <c r="B7" s="113">
        <v>204203212.18880603</v>
      </c>
      <c r="E7" s="112">
        <v>2019</v>
      </c>
      <c r="F7" s="114">
        <f t="shared" si="0"/>
        <v>204.20321218880602</v>
      </c>
    </row>
    <row r="8" spans="1:7">
      <c r="A8" s="112">
        <v>2020</v>
      </c>
      <c r="B8" s="113">
        <v>193172298.067</v>
      </c>
      <c r="E8" s="112">
        <v>2020</v>
      </c>
      <c r="F8" s="114">
        <f t="shared" si="0"/>
        <v>193.17229806700001</v>
      </c>
    </row>
    <row r="9" spans="1:7">
      <c r="A9" s="112">
        <v>2021</v>
      </c>
      <c r="B9" s="113">
        <v>213446970.87890002</v>
      </c>
      <c r="E9" s="112">
        <v>2021</v>
      </c>
      <c r="F9" s="114">
        <f t="shared" si="0"/>
        <v>213.44697087890003</v>
      </c>
    </row>
    <row r="10" spans="1:7">
      <c r="A10" s="112" t="s">
        <v>377</v>
      </c>
      <c r="B10" s="113">
        <v>230090375.60770002</v>
      </c>
      <c r="E10" s="112" t="s">
        <v>377</v>
      </c>
      <c r="F10" s="114">
        <f t="shared" si="0"/>
        <v>230.09037560770003</v>
      </c>
    </row>
    <row r="11" spans="1:7">
      <c r="A11" s="112" t="s">
        <v>378</v>
      </c>
      <c r="B11" s="113">
        <v>250591578.11797088</v>
      </c>
      <c r="E11" s="112" t="s">
        <v>378</v>
      </c>
      <c r="F11" s="114">
        <f t="shared" si="0"/>
        <v>250.5915781179709</v>
      </c>
      <c r="G11" t="s">
        <v>380</v>
      </c>
    </row>
    <row r="12" spans="1:7">
      <c r="A12" s="112" t="s">
        <v>411</v>
      </c>
      <c r="B12" s="109">
        <v>252928112.63449165</v>
      </c>
      <c r="E12" s="112" t="s">
        <v>411</v>
      </c>
      <c r="F12" s="114">
        <f t="shared" ref="F12" si="1">B12/1000000</f>
        <v>252.92811263449164</v>
      </c>
    </row>
    <row r="16" spans="1:7">
      <c r="A16" s="112">
        <v>2015</v>
      </c>
    </row>
    <row r="17" spans="1:7">
      <c r="A17" s="112">
        <v>2016</v>
      </c>
      <c r="B17" s="115">
        <f>(B4-B3)/B3</f>
        <v>9.9567953439727463E-2</v>
      </c>
      <c r="C17" s="110">
        <f>B17*B3</f>
        <v>17846935.612630039</v>
      </c>
    </row>
    <row r="18" spans="1:7">
      <c r="A18" s="112">
        <v>2017</v>
      </c>
      <c r="B18" s="115">
        <f t="shared" ref="B18:B24" si="2">(B5-B4)/B4</f>
        <v>2.1942659548740442E-2</v>
      </c>
      <c r="C18" s="110">
        <f t="shared" ref="C18:C24" si="3">B18*B4</f>
        <v>4324694.3122999966</v>
      </c>
    </row>
    <row r="19" spans="1:7">
      <c r="A19" s="112">
        <v>2018</v>
      </c>
      <c r="B19" s="115">
        <f t="shared" si="2"/>
        <v>8.6663109327889662E-2</v>
      </c>
      <c r="C19" s="110">
        <f t="shared" si="3"/>
        <v>17455285.056330025</v>
      </c>
      <c r="G19" s="110">
        <f>B11-B4</f>
        <v>53500869.824670881</v>
      </c>
    </row>
    <row r="20" spans="1:7">
      <c r="A20" s="112">
        <v>2019</v>
      </c>
      <c r="B20" s="115">
        <f t="shared" si="2"/>
        <v>-6.7014343628231915E-2</v>
      </c>
      <c r="C20" s="110">
        <f t="shared" si="3"/>
        <v>-14667475.473123997</v>
      </c>
    </row>
    <row r="21" spans="1:7">
      <c r="A21" s="112">
        <v>2020</v>
      </c>
      <c r="B21" s="115">
        <f t="shared" si="2"/>
        <v>-5.4019297755252042E-2</v>
      </c>
      <c r="C21" s="110">
        <f t="shared" si="3"/>
        <v>-11030914.121806026</v>
      </c>
    </row>
    <row r="22" spans="1:7">
      <c r="A22" s="112" t="s">
        <v>376</v>
      </c>
      <c r="B22" s="115">
        <f t="shared" si="2"/>
        <v>0.10495641981164369</v>
      </c>
      <c r="C22" s="110">
        <f t="shared" si="3"/>
        <v>20274672.81190002</v>
      </c>
    </row>
    <row r="23" spans="1:7">
      <c r="A23" s="112" t="s">
        <v>377</v>
      </c>
      <c r="B23" s="115">
        <f t="shared" si="2"/>
        <v>7.7974424562074013E-2</v>
      </c>
      <c r="C23" s="110">
        <f t="shared" si="3"/>
        <v>16643404.728799999</v>
      </c>
      <c r="D23">
        <f>(B12-B8)/B8*100</f>
        <v>30.933946101715843</v>
      </c>
    </row>
    <row r="24" spans="1:7">
      <c r="A24" s="112" t="s">
        <v>378</v>
      </c>
      <c r="B24" s="115">
        <f t="shared" si="2"/>
        <v>8.9100652107348674E-2</v>
      </c>
      <c r="C24" s="110">
        <f t="shared" si="3"/>
        <v>20501202.510270864</v>
      </c>
    </row>
    <row r="25" spans="1:7">
      <c r="B25" s="116">
        <f>AVERAGE(B17:B24)</f>
        <v>4.4896447176742495E-2</v>
      </c>
    </row>
  </sheetData>
  <phoneticPr fontId="3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EC35-B9B2-4AAF-A291-9CB9A2E884A4}">
  <dimension ref="A3:Q19"/>
  <sheetViews>
    <sheetView topLeftCell="A4" zoomScale="85" zoomScaleNormal="85" workbookViewId="0">
      <selection activeCell="N22" sqref="N22"/>
    </sheetView>
  </sheetViews>
  <sheetFormatPr baseColWidth="10" defaultRowHeight="15"/>
  <cols>
    <col min="1" max="1" width="34" style="160" bestFit="1" customWidth="1"/>
    <col min="2" max="4" width="7.7109375" style="160" bestFit="1" customWidth="1"/>
    <col min="5" max="5" width="14.140625" style="160" bestFit="1" customWidth="1"/>
    <col min="6" max="6" width="10.85546875" style="160" bestFit="1" customWidth="1"/>
    <col min="7" max="256" width="11.42578125" style="160"/>
    <col min="257" max="257" width="34" style="160" bestFit="1" customWidth="1"/>
    <col min="258" max="260" width="7.7109375" style="160" bestFit="1" customWidth="1"/>
    <col min="261" max="261" width="14.140625" style="160" bestFit="1" customWidth="1"/>
    <col min="262" max="262" width="10.85546875" style="160" bestFit="1" customWidth="1"/>
    <col min="263" max="512" width="11.42578125" style="160"/>
    <col min="513" max="513" width="34" style="160" bestFit="1" customWidth="1"/>
    <col min="514" max="516" width="7.7109375" style="160" bestFit="1" customWidth="1"/>
    <col min="517" max="517" width="14.140625" style="160" bestFit="1" customWidth="1"/>
    <col min="518" max="518" width="10.85546875" style="160" bestFit="1" customWidth="1"/>
    <col min="519" max="768" width="11.42578125" style="160"/>
    <col min="769" max="769" width="34" style="160" bestFit="1" customWidth="1"/>
    <col min="770" max="772" width="7.7109375" style="160" bestFit="1" customWidth="1"/>
    <col min="773" max="773" width="14.140625" style="160" bestFit="1" customWidth="1"/>
    <col min="774" max="774" width="10.85546875" style="160" bestFit="1" customWidth="1"/>
    <col min="775" max="1024" width="11.42578125" style="160"/>
    <col min="1025" max="1025" width="34" style="160" bestFit="1" customWidth="1"/>
    <col min="1026" max="1028" width="7.7109375" style="160" bestFit="1" customWidth="1"/>
    <col min="1029" max="1029" width="14.140625" style="160" bestFit="1" customWidth="1"/>
    <col min="1030" max="1030" width="10.85546875" style="160" bestFit="1" customWidth="1"/>
    <col min="1031" max="1280" width="11.42578125" style="160"/>
    <col min="1281" max="1281" width="34" style="160" bestFit="1" customWidth="1"/>
    <col min="1282" max="1284" width="7.7109375" style="160" bestFit="1" customWidth="1"/>
    <col min="1285" max="1285" width="14.140625" style="160" bestFit="1" customWidth="1"/>
    <col min="1286" max="1286" width="10.85546875" style="160" bestFit="1" customWidth="1"/>
    <col min="1287" max="1536" width="11.42578125" style="160"/>
    <col min="1537" max="1537" width="34" style="160" bestFit="1" customWidth="1"/>
    <col min="1538" max="1540" width="7.7109375" style="160" bestFit="1" customWidth="1"/>
    <col min="1541" max="1541" width="14.140625" style="160" bestFit="1" customWidth="1"/>
    <col min="1542" max="1542" width="10.85546875" style="160" bestFit="1" customWidth="1"/>
    <col min="1543" max="1792" width="11.42578125" style="160"/>
    <col min="1793" max="1793" width="34" style="160" bestFit="1" customWidth="1"/>
    <col min="1794" max="1796" width="7.7109375" style="160" bestFit="1" customWidth="1"/>
    <col min="1797" max="1797" width="14.140625" style="160" bestFit="1" customWidth="1"/>
    <col min="1798" max="1798" width="10.85546875" style="160" bestFit="1" customWidth="1"/>
    <col min="1799" max="2048" width="11.42578125" style="160"/>
    <col min="2049" max="2049" width="34" style="160" bestFit="1" customWidth="1"/>
    <col min="2050" max="2052" width="7.7109375" style="160" bestFit="1" customWidth="1"/>
    <col min="2053" max="2053" width="14.140625" style="160" bestFit="1" customWidth="1"/>
    <col min="2054" max="2054" width="10.85546875" style="160" bestFit="1" customWidth="1"/>
    <col min="2055" max="2304" width="11.42578125" style="160"/>
    <col min="2305" max="2305" width="34" style="160" bestFit="1" customWidth="1"/>
    <col min="2306" max="2308" width="7.7109375" style="160" bestFit="1" customWidth="1"/>
    <col min="2309" max="2309" width="14.140625" style="160" bestFit="1" customWidth="1"/>
    <col min="2310" max="2310" width="10.85546875" style="160" bestFit="1" customWidth="1"/>
    <col min="2311" max="2560" width="11.42578125" style="160"/>
    <col min="2561" max="2561" width="34" style="160" bestFit="1" customWidth="1"/>
    <col min="2562" max="2564" width="7.7109375" style="160" bestFit="1" customWidth="1"/>
    <col min="2565" max="2565" width="14.140625" style="160" bestFit="1" customWidth="1"/>
    <col min="2566" max="2566" width="10.85546875" style="160" bestFit="1" customWidth="1"/>
    <col min="2567" max="2816" width="11.42578125" style="160"/>
    <col min="2817" max="2817" width="34" style="160" bestFit="1" customWidth="1"/>
    <col min="2818" max="2820" width="7.7109375" style="160" bestFit="1" customWidth="1"/>
    <col min="2821" max="2821" width="14.140625" style="160" bestFit="1" customWidth="1"/>
    <col min="2822" max="2822" width="10.85546875" style="160" bestFit="1" customWidth="1"/>
    <col min="2823" max="3072" width="11.42578125" style="160"/>
    <col min="3073" max="3073" width="34" style="160" bestFit="1" customWidth="1"/>
    <col min="3074" max="3076" width="7.7109375" style="160" bestFit="1" customWidth="1"/>
    <col min="3077" max="3077" width="14.140625" style="160" bestFit="1" customWidth="1"/>
    <col min="3078" max="3078" width="10.85546875" style="160" bestFit="1" customWidth="1"/>
    <col min="3079" max="3328" width="11.42578125" style="160"/>
    <col min="3329" max="3329" width="34" style="160" bestFit="1" customWidth="1"/>
    <col min="3330" max="3332" width="7.7109375" style="160" bestFit="1" customWidth="1"/>
    <col min="3333" max="3333" width="14.140625" style="160" bestFit="1" customWidth="1"/>
    <col min="3334" max="3334" width="10.85546875" style="160" bestFit="1" customWidth="1"/>
    <col min="3335" max="3584" width="11.42578125" style="160"/>
    <col min="3585" max="3585" width="34" style="160" bestFit="1" customWidth="1"/>
    <col min="3586" max="3588" width="7.7109375" style="160" bestFit="1" customWidth="1"/>
    <col min="3589" max="3589" width="14.140625" style="160" bestFit="1" customWidth="1"/>
    <col min="3590" max="3590" width="10.85546875" style="160" bestFit="1" customWidth="1"/>
    <col min="3591" max="3840" width="11.42578125" style="160"/>
    <col min="3841" max="3841" width="34" style="160" bestFit="1" customWidth="1"/>
    <col min="3842" max="3844" width="7.7109375" style="160" bestFit="1" customWidth="1"/>
    <col min="3845" max="3845" width="14.140625" style="160" bestFit="1" customWidth="1"/>
    <col min="3846" max="3846" width="10.85546875" style="160" bestFit="1" customWidth="1"/>
    <col min="3847" max="4096" width="11.42578125" style="160"/>
    <col min="4097" max="4097" width="34" style="160" bestFit="1" customWidth="1"/>
    <col min="4098" max="4100" width="7.7109375" style="160" bestFit="1" customWidth="1"/>
    <col min="4101" max="4101" width="14.140625" style="160" bestFit="1" customWidth="1"/>
    <col min="4102" max="4102" width="10.85546875" style="160" bestFit="1" customWidth="1"/>
    <col min="4103" max="4352" width="11.42578125" style="160"/>
    <col min="4353" max="4353" width="34" style="160" bestFit="1" customWidth="1"/>
    <col min="4354" max="4356" width="7.7109375" style="160" bestFit="1" customWidth="1"/>
    <col min="4357" max="4357" width="14.140625" style="160" bestFit="1" customWidth="1"/>
    <col min="4358" max="4358" width="10.85546875" style="160" bestFit="1" customWidth="1"/>
    <col min="4359" max="4608" width="11.42578125" style="160"/>
    <col min="4609" max="4609" width="34" style="160" bestFit="1" customWidth="1"/>
    <col min="4610" max="4612" width="7.7109375" style="160" bestFit="1" customWidth="1"/>
    <col min="4613" max="4613" width="14.140625" style="160" bestFit="1" customWidth="1"/>
    <col min="4614" max="4614" width="10.85546875" style="160" bestFit="1" customWidth="1"/>
    <col min="4615" max="4864" width="11.42578125" style="160"/>
    <col min="4865" max="4865" width="34" style="160" bestFit="1" customWidth="1"/>
    <col min="4866" max="4868" width="7.7109375" style="160" bestFit="1" customWidth="1"/>
    <col min="4869" max="4869" width="14.140625" style="160" bestFit="1" customWidth="1"/>
    <col min="4870" max="4870" width="10.85546875" style="160" bestFit="1" customWidth="1"/>
    <col min="4871" max="5120" width="11.42578125" style="160"/>
    <col min="5121" max="5121" width="34" style="160" bestFit="1" customWidth="1"/>
    <col min="5122" max="5124" width="7.7109375" style="160" bestFit="1" customWidth="1"/>
    <col min="5125" max="5125" width="14.140625" style="160" bestFit="1" customWidth="1"/>
    <col min="5126" max="5126" width="10.85546875" style="160" bestFit="1" customWidth="1"/>
    <col min="5127" max="5376" width="11.42578125" style="160"/>
    <col min="5377" max="5377" width="34" style="160" bestFit="1" customWidth="1"/>
    <col min="5378" max="5380" width="7.7109375" style="160" bestFit="1" customWidth="1"/>
    <col min="5381" max="5381" width="14.140625" style="160" bestFit="1" customWidth="1"/>
    <col min="5382" max="5382" width="10.85546875" style="160" bestFit="1" customWidth="1"/>
    <col min="5383" max="5632" width="11.42578125" style="160"/>
    <col min="5633" max="5633" width="34" style="160" bestFit="1" customWidth="1"/>
    <col min="5634" max="5636" width="7.7109375" style="160" bestFit="1" customWidth="1"/>
    <col min="5637" max="5637" width="14.140625" style="160" bestFit="1" customWidth="1"/>
    <col min="5638" max="5638" width="10.85546875" style="160" bestFit="1" customWidth="1"/>
    <col min="5639" max="5888" width="11.42578125" style="160"/>
    <col min="5889" max="5889" width="34" style="160" bestFit="1" customWidth="1"/>
    <col min="5890" max="5892" width="7.7109375" style="160" bestFit="1" customWidth="1"/>
    <col min="5893" max="5893" width="14.140625" style="160" bestFit="1" customWidth="1"/>
    <col min="5894" max="5894" width="10.85546875" style="160" bestFit="1" customWidth="1"/>
    <col min="5895" max="6144" width="11.42578125" style="160"/>
    <col min="6145" max="6145" width="34" style="160" bestFit="1" customWidth="1"/>
    <col min="6146" max="6148" width="7.7109375" style="160" bestFit="1" customWidth="1"/>
    <col min="6149" max="6149" width="14.140625" style="160" bestFit="1" customWidth="1"/>
    <col min="6150" max="6150" width="10.85546875" style="160" bestFit="1" customWidth="1"/>
    <col min="6151" max="6400" width="11.42578125" style="160"/>
    <col min="6401" max="6401" width="34" style="160" bestFit="1" customWidth="1"/>
    <col min="6402" max="6404" width="7.7109375" style="160" bestFit="1" customWidth="1"/>
    <col min="6405" max="6405" width="14.140625" style="160" bestFit="1" customWidth="1"/>
    <col min="6406" max="6406" width="10.85546875" style="160" bestFit="1" customWidth="1"/>
    <col min="6407" max="6656" width="11.42578125" style="160"/>
    <col min="6657" max="6657" width="34" style="160" bestFit="1" customWidth="1"/>
    <col min="6658" max="6660" width="7.7109375" style="160" bestFit="1" customWidth="1"/>
    <col min="6661" max="6661" width="14.140625" style="160" bestFit="1" customWidth="1"/>
    <col min="6662" max="6662" width="10.85546875" style="160" bestFit="1" customWidth="1"/>
    <col min="6663" max="6912" width="11.42578125" style="160"/>
    <col min="6913" max="6913" width="34" style="160" bestFit="1" customWidth="1"/>
    <col min="6914" max="6916" width="7.7109375" style="160" bestFit="1" customWidth="1"/>
    <col min="6917" max="6917" width="14.140625" style="160" bestFit="1" customWidth="1"/>
    <col min="6918" max="6918" width="10.85546875" style="160" bestFit="1" customWidth="1"/>
    <col min="6919" max="7168" width="11.42578125" style="160"/>
    <col min="7169" max="7169" width="34" style="160" bestFit="1" customWidth="1"/>
    <col min="7170" max="7172" width="7.7109375" style="160" bestFit="1" customWidth="1"/>
    <col min="7173" max="7173" width="14.140625" style="160" bestFit="1" customWidth="1"/>
    <col min="7174" max="7174" width="10.85546875" style="160" bestFit="1" customWidth="1"/>
    <col min="7175" max="7424" width="11.42578125" style="160"/>
    <col min="7425" max="7425" width="34" style="160" bestFit="1" customWidth="1"/>
    <col min="7426" max="7428" width="7.7109375" style="160" bestFit="1" customWidth="1"/>
    <col min="7429" max="7429" width="14.140625" style="160" bestFit="1" customWidth="1"/>
    <col min="7430" max="7430" width="10.85546875" style="160" bestFit="1" customWidth="1"/>
    <col min="7431" max="7680" width="11.42578125" style="160"/>
    <col min="7681" max="7681" width="34" style="160" bestFit="1" customWidth="1"/>
    <col min="7682" max="7684" width="7.7109375" style="160" bestFit="1" customWidth="1"/>
    <col min="7685" max="7685" width="14.140625" style="160" bestFit="1" customWidth="1"/>
    <col min="7686" max="7686" width="10.85546875" style="160" bestFit="1" customWidth="1"/>
    <col min="7687" max="7936" width="11.42578125" style="160"/>
    <col min="7937" max="7937" width="34" style="160" bestFit="1" customWidth="1"/>
    <col min="7938" max="7940" width="7.7109375" style="160" bestFit="1" customWidth="1"/>
    <col min="7941" max="7941" width="14.140625" style="160" bestFit="1" customWidth="1"/>
    <col min="7942" max="7942" width="10.85546875" style="160" bestFit="1" customWidth="1"/>
    <col min="7943" max="8192" width="11.42578125" style="160"/>
    <col min="8193" max="8193" width="34" style="160" bestFit="1" customWidth="1"/>
    <col min="8194" max="8196" width="7.7109375" style="160" bestFit="1" customWidth="1"/>
    <col min="8197" max="8197" width="14.140625" style="160" bestFit="1" customWidth="1"/>
    <col min="8198" max="8198" width="10.85546875" style="160" bestFit="1" customWidth="1"/>
    <col min="8199" max="8448" width="11.42578125" style="160"/>
    <col min="8449" max="8449" width="34" style="160" bestFit="1" customWidth="1"/>
    <col min="8450" max="8452" width="7.7109375" style="160" bestFit="1" customWidth="1"/>
    <col min="8453" max="8453" width="14.140625" style="160" bestFit="1" customWidth="1"/>
    <col min="8454" max="8454" width="10.85546875" style="160" bestFit="1" customWidth="1"/>
    <col min="8455" max="8704" width="11.42578125" style="160"/>
    <col min="8705" max="8705" width="34" style="160" bestFit="1" customWidth="1"/>
    <col min="8706" max="8708" width="7.7109375" style="160" bestFit="1" customWidth="1"/>
    <col min="8709" max="8709" width="14.140625" style="160" bestFit="1" customWidth="1"/>
    <col min="8710" max="8710" width="10.85546875" style="160" bestFit="1" customWidth="1"/>
    <col min="8711" max="8960" width="11.42578125" style="160"/>
    <col min="8961" max="8961" width="34" style="160" bestFit="1" customWidth="1"/>
    <col min="8962" max="8964" width="7.7109375" style="160" bestFit="1" customWidth="1"/>
    <col min="8965" max="8965" width="14.140625" style="160" bestFit="1" customWidth="1"/>
    <col min="8966" max="8966" width="10.85546875" style="160" bestFit="1" customWidth="1"/>
    <col min="8967" max="9216" width="11.42578125" style="160"/>
    <col min="9217" max="9217" width="34" style="160" bestFit="1" customWidth="1"/>
    <col min="9218" max="9220" width="7.7109375" style="160" bestFit="1" customWidth="1"/>
    <col min="9221" max="9221" width="14.140625" style="160" bestFit="1" customWidth="1"/>
    <col min="9222" max="9222" width="10.85546875" style="160" bestFit="1" customWidth="1"/>
    <col min="9223" max="9472" width="11.42578125" style="160"/>
    <col min="9473" max="9473" width="34" style="160" bestFit="1" customWidth="1"/>
    <col min="9474" max="9476" width="7.7109375" style="160" bestFit="1" customWidth="1"/>
    <col min="9477" max="9477" width="14.140625" style="160" bestFit="1" customWidth="1"/>
    <col min="9478" max="9478" width="10.85546875" style="160" bestFit="1" customWidth="1"/>
    <col min="9479" max="9728" width="11.42578125" style="160"/>
    <col min="9729" max="9729" width="34" style="160" bestFit="1" customWidth="1"/>
    <col min="9730" max="9732" width="7.7109375" style="160" bestFit="1" customWidth="1"/>
    <col min="9733" max="9733" width="14.140625" style="160" bestFit="1" customWidth="1"/>
    <col min="9734" max="9734" width="10.85546875" style="160" bestFit="1" customWidth="1"/>
    <col min="9735" max="9984" width="11.42578125" style="160"/>
    <col min="9985" max="9985" width="34" style="160" bestFit="1" customWidth="1"/>
    <col min="9986" max="9988" width="7.7109375" style="160" bestFit="1" customWidth="1"/>
    <col min="9989" max="9989" width="14.140625" style="160" bestFit="1" customWidth="1"/>
    <col min="9990" max="9990" width="10.85546875" style="160" bestFit="1" customWidth="1"/>
    <col min="9991" max="10240" width="11.42578125" style="160"/>
    <col min="10241" max="10241" width="34" style="160" bestFit="1" customWidth="1"/>
    <col min="10242" max="10244" width="7.7109375" style="160" bestFit="1" customWidth="1"/>
    <col min="10245" max="10245" width="14.140625" style="160" bestFit="1" customWidth="1"/>
    <col min="10246" max="10246" width="10.85546875" style="160" bestFit="1" customWidth="1"/>
    <col min="10247" max="10496" width="11.42578125" style="160"/>
    <col min="10497" max="10497" width="34" style="160" bestFit="1" customWidth="1"/>
    <col min="10498" max="10500" width="7.7109375" style="160" bestFit="1" customWidth="1"/>
    <col min="10501" max="10501" width="14.140625" style="160" bestFit="1" customWidth="1"/>
    <col min="10502" max="10502" width="10.85546875" style="160" bestFit="1" customWidth="1"/>
    <col min="10503" max="10752" width="11.42578125" style="160"/>
    <col min="10753" max="10753" width="34" style="160" bestFit="1" customWidth="1"/>
    <col min="10754" max="10756" width="7.7109375" style="160" bestFit="1" customWidth="1"/>
    <col min="10757" max="10757" width="14.140625" style="160" bestFit="1" customWidth="1"/>
    <col min="10758" max="10758" width="10.85546875" style="160" bestFit="1" customWidth="1"/>
    <col min="10759" max="11008" width="11.42578125" style="160"/>
    <col min="11009" max="11009" width="34" style="160" bestFit="1" customWidth="1"/>
    <col min="11010" max="11012" width="7.7109375" style="160" bestFit="1" customWidth="1"/>
    <col min="11013" max="11013" width="14.140625" style="160" bestFit="1" customWidth="1"/>
    <col min="11014" max="11014" width="10.85546875" style="160" bestFit="1" customWidth="1"/>
    <col min="11015" max="11264" width="11.42578125" style="160"/>
    <col min="11265" max="11265" width="34" style="160" bestFit="1" customWidth="1"/>
    <col min="11266" max="11268" width="7.7109375" style="160" bestFit="1" customWidth="1"/>
    <col min="11269" max="11269" width="14.140625" style="160" bestFit="1" customWidth="1"/>
    <col min="11270" max="11270" width="10.85546875" style="160" bestFit="1" customWidth="1"/>
    <col min="11271" max="11520" width="11.42578125" style="160"/>
    <col min="11521" max="11521" width="34" style="160" bestFit="1" customWidth="1"/>
    <col min="11522" max="11524" width="7.7109375" style="160" bestFit="1" customWidth="1"/>
    <col min="11525" max="11525" width="14.140625" style="160" bestFit="1" customWidth="1"/>
    <col min="11526" max="11526" width="10.85546875" style="160" bestFit="1" customWidth="1"/>
    <col min="11527" max="11776" width="11.42578125" style="160"/>
    <col min="11777" max="11777" width="34" style="160" bestFit="1" customWidth="1"/>
    <col min="11778" max="11780" width="7.7109375" style="160" bestFit="1" customWidth="1"/>
    <col min="11781" max="11781" width="14.140625" style="160" bestFit="1" customWidth="1"/>
    <col min="11782" max="11782" width="10.85546875" style="160" bestFit="1" customWidth="1"/>
    <col min="11783" max="12032" width="11.42578125" style="160"/>
    <col min="12033" max="12033" width="34" style="160" bestFit="1" customWidth="1"/>
    <col min="12034" max="12036" width="7.7109375" style="160" bestFit="1" customWidth="1"/>
    <col min="12037" max="12037" width="14.140625" style="160" bestFit="1" customWidth="1"/>
    <col min="12038" max="12038" width="10.85546875" style="160" bestFit="1" customWidth="1"/>
    <col min="12039" max="12288" width="11.42578125" style="160"/>
    <col min="12289" max="12289" width="34" style="160" bestFit="1" customWidth="1"/>
    <col min="12290" max="12292" width="7.7109375" style="160" bestFit="1" customWidth="1"/>
    <col min="12293" max="12293" width="14.140625" style="160" bestFit="1" customWidth="1"/>
    <col min="12294" max="12294" width="10.85546875" style="160" bestFit="1" customWidth="1"/>
    <col min="12295" max="12544" width="11.42578125" style="160"/>
    <col min="12545" max="12545" width="34" style="160" bestFit="1" customWidth="1"/>
    <col min="12546" max="12548" width="7.7109375" style="160" bestFit="1" customWidth="1"/>
    <col min="12549" max="12549" width="14.140625" style="160" bestFit="1" customWidth="1"/>
    <col min="12550" max="12550" width="10.85546875" style="160" bestFit="1" customWidth="1"/>
    <col min="12551" max="12800" width="11.42578125" style="160"/>
    <col min="12801" max="12801" width="34" style="160" bestFit="1" customWidth="1"/>
    <col min="12802" max="12804" width="7.7109375" style="160" bestFit="1" customWidth="1"/>
    <col min="12805" max="12805" width="14.140625" style="160" bestFit="1" customWidth="1"/>
    <col min="12806" max="12806" width="10.85546875" style="160" bestFit="1" customWidth="1"/>
    <col min="12807" max="13056" width="11.42578125" style="160"/>
    <col min="13057" max="13057" width="34" style="160" bestFit="1" customWidth="1"/>
    <col min="13058" max="13060" width="7.7109375" style="160" bestFit="1" customWidth="1"/>
    <col min="13061" max="13061" width="14.140625" style="160" bestFit="1" customWidth="1"/>
    <col min="13062" max="13062" width="10.85546875" style="160" bestFit="1" customWidth="1"/>
    <col min="13063" max="13312" width="11.42578125" style="160"/>
    <col min="13313" max="13313" width="34" style="160" bestFit="1" customWidth="1"/>
    <col min="13314" max="13316" width="7.7109375" style="160" bestFit="1" customWidth="1"/>
    <col min="13317" max="13317" width="14.140625" style="160" bestFit="1" customWidth="1"/>
    <col min="13318" max="13318" width="10.85546875" style="160" bestFit="1" customWidth="1"/>
    <col min="13319" max="13568" width="11.42578125" style="160"/>
    <col min="13569" max="13569" width="34" style="160" bestFit="1" customWidth="1"/>
    <col min="13570" max="13572" width="7.7109375" style="160" bestFit="1" customWidth="1"/>
    <col min="13573" max="13573" width="14.140625" style="160" bestFit="1" customWidth="1"/>
    <col min="13574" max="13574" width="10.85546875" style="160" bestFit="1" customWidth="1"/>
    <col min="13575" max="13824" width="11.42578125" style="160"/>
    <col min="13825" max="13825" width="34" style="160" bestFit="1" customWidth="1"/>
    <col min="13826" max="13828" width="7.7109375" style="160" bestFit="1" customWidth="1"/>
    <col min="13829" max="13829" width="14.140625" style="160" bestFit="1" customWidth="1"/>
    <col min="13830" max="13830" width="10.85546875" style="160" bestFit="1" customWidth="1"/>
    <col min="13831" max="14080" width="11.42578125" style="160"/>
    <col min="14081" max="14081" width="34" style="160" bestFit="1" customWidth="1"/>
    <col min="14082" max="14084" width="7.7109375" style="160" bestFit="1" customWidth="1"/>
    <col min="14085" max="14085" width="14.140625" style="160" bestFit="1" customWidth="1"/>
    <col min="14086" max="14086" width="10.85546875" style="160" bestFit="1" customWidth="1"/>
    <col min="14087" max="14336" width="11.42578125" style="160"/>
    <col min="14337" max="14337" width="34" style="160" bestFit="1" customWidth="1"/>
    <col min="14338" max="14340" width="7.7109375" style="160" bestFit="1" customWidth="1"/>
    <col min="14341" max="14341" width="14.140625" style="160" bestFit="1" customWidth="1"/>
    <col min="14342" max="14342" width="10.85546875" style="160" bestFit="1" customWidth="1"/>
    <col min="14343" max="14592" width="11.42578125" style="160"/>
    <col min="14593" max="14593" width="34" style="160" bestFit="1" customWidth="1"/>
    <col min="14594" max="14596" width="7.7109375" style="160" bestFit="1" customWidth="1"/>
    <col min="14597" max="14597" width="14.140625" style="160" bestFit="1" customWidth="1"/>
    <col min="14598" max="14598" width="10.85546875" style="160" bestFit="1" customWidth="1"/>
    <col min="14599" max="14848" width="11.42578125" style="160"/>
    <col min="14849" max="14849" width="34" style="160" bestFit="1" customWidth="1"/>
    <col min="14850" max="14852" width="7.7109375" style="160" bestFit="1" customWidth="1"/>
    <col min="14853" max="14853" width="14.140625" style="160" bestFit="1" customWidth="1"/>
    <col min="14854" max="14854" width="10.85546875" style="160" bestFit="1" customWidth="1"/>
    <col min="14855" max="15104" width="11.42578125" style="160"/>
    <col min="15105" max="15105" width="34" style="160" bestFit="1" customWidth="1"/>
    <col min="15106" max="15108" width="7.7109375" style="160" bestFit="1" customWidth="1"/>
    <col min="15109" max="15109" width="14.140625" style="160" bestFit="1" customWidth="1"/>
    <col min="15110" max="15110" width="10.85546875" style="160" bestFit="1" customWidth="1"/>
    <col min="15111" max="15360" width="11.42578125" style="160"/>
    <col min="15361" max="15361" width="34" style="160" bestFit="1" customWidth="1"/>
    <col min="15362" max="15364" width="7.7109375" style="160" bestFit="1" customWidth="1"/>
    <col min="15365" max="15365" width="14.140625" style="160" bestFit="1" customWidth="1"/>
    <col min="15366" max="15366" width="10.85546875" style="160" bestFit="1" customWidth="1"/>
    <col min="15367" max="15616" width="11.42578125" style="160"/>
    <col min="15617" max="15617" width="34" style="160" bestFit="1" customWidth="1"/>
    <col min="15618" max="15620" width="7.7109375" style="160" bestFit="1" customWidth="1"/>
    <col min="15621" max="15621" width="14.140625" style="160" bestFit="1" customWidth="1"/>
    <col min="15622" max="15622" width="10.85546875" style="160" bestFit="1" customWidth="1"/>
    <col min="15623" max="15872" width="11.42578125" style="160"/>
    <col min="15873" max="15873" width="34" style="160" bestFit="1" customWidth="1"/>
    <col min="15874" max="15876" width="7.7109375" style="160" bestFit="1" customWidth="1"/>
    <col min="15877" max="15877" width="14.140625" style="160" bestFit="1" customWidth="1"/>
    <col min="15878" max="15878" width="10.85546875" style="160" bestFit="1" customWidth="1"/>
    <col min="15879" max="16128" width="11.42578125" style="160"/>
    <col min="16129" max="16129" width="34" style="160" bestFit="1" customWidth="1"/>
    <col min="16130" max="16132" width="7.7109375" style="160" bestFit="1" customWidth="1"/>
    <col min="16133" max="16133" width="14.140625" style="160" bestFit="1" customWidth="1"/>
    <col min="16134" max="16134" width="10.85546875" style="160" bestFit="1" customWidth="1"/>
    <col min="16135" max="16384" width="11.42578125" style="160"/>
  </cols>
  <sheetData>
    <row r="3" spans="1:17">
      <c r="A3" s="157" t="s">
        <v>412</v>
      </c>
      <c r="B3" s="157" t="s">
        <v>413</v>
      </c>
      <c r="C3" s="158"/>
      <c r="D3" s="158"/>
      <c r="E3" s="159"/>
    </row>
    <row r="4" spans="1:17" ht="15.75">
      <c r="A4" s="157" t="s">
        <v>414</v>
      </c>
      <c r="B4" s="157" t="s">
        <v>9</v>
      </c>
      <c r="C4" s="161" t="s">
        <v>10</v>
      </c>
      <c r="D4" s="161" t="s">
        <v>192</v>
      </c>
      <c r="E4" s="162" t="s">
        <v>23</v>
      </c>
      <c r="G4" s="168" t="s">
        <v>8</v>
      </c>
      <c r="H4" s="168" t="s">
        <v>9</v>
      </c>
      <c r="I4" s="168" t="s">
        <v>10</v>
      </c>
      <c r="J4" s="168" t="s">
        <v>192</v>
      </c>
      <c r="L4"/>
      <c r="M4"/>
      <c r="N4"/>
      <c r="O4"/>
      <c r="P4"/>
      <c r="Q4"/>
    </row>
    <row r="5" spans="1:17" ht="15.75">
      <c r="A5" s="157" t="s">
        <v>18</v>
      </c>
      <c r="B5" s="157">
        <v>2210</v>
      </c>
      <c r="C5" s="161">
        <v>2279</v>
      </c>
      <c r="D5" s="161">
        <v>2264</v>
      </c>
      <c r="E5" s="162">
        <v>6753</v>
      </c>
      <c r="G5" s="169" t="s">
        <v>18</v>
      </c>
      <c r="H5" s="170">
        <v>221</v>
      </c>
      <c r="I5" s="170">
        <v>227.9</v>
      </c>
      <c r="J5" s="170">
        <v>226.4</v>
      </c>
      <c r="L5"/>
      <c r="M5"/>
      <c r="N5"/>
      <c r="O5"/>
      <c r="P5"/>
      <c r="Q5"/>
    </row>
    <row r="6" spans="1:17" ht="15.75">
      <c r="A6" s="163" t="s">
        <v>415</v>
      </c>
      <c r="B6" s="163">
        <v>1947</v>
      </c>
      <c r="C6" s="160">
        <v>1948</v>
      </c>
      <c r="D6" s="160">
        <v>2008</v>
      </c>
      <c r="E6" s="164">
        <v>5903</v>
      </c>
      <c r="G6" s="169" t="s">
        <v>24</v>
      </c>
      <c r="H6" s="170">
        <v>194.7</v>
      </c>
      <c r="I6" s="170">
        <v>194.8</v>
      </c>
      <c r="J6" s="170">
        <v>200.8</v>
      </c>
      <c r="L6"/>
      <c r="M6"/>
      <c r="N6"/>
      <c r="O6"/>
      <c r="P6"/>
      <c r="Q6"/>
    </row>
    <row r="7" spans="1:17" ht="15.75">
      <c r="A7" s="163" t="s">
        <v>20</v>
      </c>
      <c r="B7" s="163">
        <v>2408</v>
      </c>
      <c r="C7" s="160">
        <v>2500</v>
      </c>
      <c r="D7" s="160">
        <v>2450</v>
      </c>
      <c r="E7" s="164">
        <v>7358</v>
      </c>
      <c r="G7" s="169" t="s">
        <v>20</v>
      </c>
      <c r="H7" s="170">
        <v>240.8</v>
      </c>
      <c r="I7" s="170">
        <v>250</v>
      </c>
      <c r="J7" s="170">
        <v>245</v>
      </c>
      <c r="L7"/>
      <c r="M7"/>
      <c r="N7"/>
      <c r="O7"/>
      <c r="P7"/>
      <c r="Q7"/>
    </row>
    <row r="8" spans="1:17">
      <c r="A8" s="163" t="s">
        <v>38</v>
      </c>
      <c r="B8" s="163">
        <v>2340</v>
      </c>
      <c r="C8" s="160">
        <v>2343</v>
      </c>
      <c r="D8" s="160">
        <v>2274</v>
      </c>
      <c r="E8" s="164">
        <v>6957</v>
      </c>
      <c r="G8" s="169" t="s">
        <v>38</v>
      </c>
      <c r="H8" s="170">
        <v>234</v>
      </c>
      <c r="I8" s="170">
        <v>234.3</v>
      </c>
      <c r="J8" s="170">
        <v>227.4</v>
      </c>
    </row>
    <row r="9" spans="1:17">
      <c r="A9" s="163" t="s">
        <v>260</v>
      </c>
      <c r="B9" s="163">
        <v>1426</v>
      </c>
      <c r="C9" s="160">
        <v>1407</v>
      </c>
      <c r="D9" s="160">
        <v>1478</v>
      </c>
      <c r="E9" s="164">
        <v>4311</v>
      </c>
      <c r="G9" s="169" t="s">
        <v>260</v>
      </c>
      <c r="H9" s="170">
        <v>142.6</v>
      </c>
      <c r="I9" s="170">
        <v>140.69999999999999</v>
      </c>
      <c r="J9" s="170">
        <v>147.80000000000001</v>
      </c>
    </row>
    <row r="10" spans="1:17">
      <c r="A10" s="165" t="s">
        <v>23</v>
      </c>
      <c r="B10" s="165">
        <v>10331</v>
      </c>
      <c r="C10" s="166">
        <v>10477</v>
      </c>
      <c r="D10" s="166">
        <v>10474</v>
      </c>
      <c r="E10" s="167">
        <v>31282</v>
      </c>
    </row>
    <row r="11" spans="1:17" ht="15.75">
      <c r="G11" s="171" t="s">
        <v>416</v>
      </c>
    </row>
    <row r="15" spans="1:17">
      <c r="A15" s="160" t="s">
        <v>18</v>
      </c>
      <c r="B15" s="160">
        <v>2210</v>
      </c>
      <c r="C15" s="160">
        <v>2279</v>
      </c>
      <c r="D15" s="160">
        <v>2264</v>
      </c>
    </row>
    <row r="16" spans="1:17">
      <c r="A16" s="160" t="s">
        <v>415</v>
      </c>
      <c r="B16" s="160">
        <v>1947</v>
      </c>
      <c r="C16" s="160">
        <v>1948</v>
      </c>
      <c r="D16" s="160">
        <v>2008</v>
      </c>
    </row>
    <row r="17" spans="1:4">
      <c r="A17" s="160" t="s">
        <v>20</v>
      </c>
      <c r="B17" s="160">
        <v>2408</v>
      </c>
      <c r="C17" s="160">
        <v>2500</v>
      </c>
      <c r="D17" s="160">
        <v>2450</v>
      </c>
    </row>
    <row r="18" spans="1:4">
      <c r="A18" s="160" t="s">
        <v>38</v>
      </c>
      <c r="B18" s="160">
        <v>2340</v>
      </c>
      <c r="C18" s="160">
        <v>2343</v>
      </c>
      <c r="D18" s="160">
        <v>2274</v>
      </c>
    </row>
    <row r="19" spans="1:4">
      <c r="A19" s="160" t="s">
        <v>260</v>
      </c>
      <c r="B19" s="160">
        <v>1426</v>
      </c>
      <c r="C19" s="160">
        <v>1407</v>
      </c>
      <c r="D19" s="160">
        <v>1478</v>
      </c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DCB8-719A-4430-ADBF-FE4BC7C390F3}">
  <dimension ref="A2:F29"/>
  <sheetViews>
    <sheetView topLeftCell="A16" workbookViewId="0">
      <selection activeCell="I11" sqref="I11"/>
    </sheetView>
  </sheetViews>
  <sheetFormatPr baseColWidth="10" defaultRowHeight="15"/>
  <cols>
    <col min="1" max="1" width="7.5703125" bestFit="1" customWidth="1"/>
    <col min="2" max="2" width="12.42578125" bestFit="1" customWidth="1"/>
    <col min="5" max="5" width="12" bestFit="1" customWidth="1"/>
    <col min="257" max="257" width="7.5703125" bestFit="1" customWidth="1"/>
    <col min="258" max="258" width="12.42578125" bestFit="1" customWidth="1"/>
    <col min="513" max="513" width="7.5703125" bestFit="1" customWidth="1"/>
    <col min="514" max="514" width="12.42578125" bestFit="1" customWidth="1"/>
    <col min="769" max="769" width="7.5703125" bestFit="1" customWidth="1"/>
    <col min="770" max="770" width="12.42578125" bestFit="1" customWidth="1"/>
    <col min="1025" max="1025" width="7.5703125" bestFit="1" customWidth="1"/>
    <col min="1026" max="1026" width="12.42578125" bestFit="1" customWidth="1"/>
    <col min="1281" max="1281" width="7.5703125" bestFit="1" customWidth="1"/>
    <col min="1282" max="1282" width="12.42578125" bestFit="1" customWidth="1"/>
    <col min="1537" max="1537" width="7.5703125" bestFit="1" customWidth="1"/>
    <col min="1538" max="1538" width="12.42578125" bestFit="1" customWidth="1"/>
    <col min="1793" max="1793" width="7.5703125" bestFit="1" customWidth="1"/>
    <col min="1794" max="1794" width="12.42578125" bestFit="1" customWidth="1"/>
    <col min="2049" max="2049" width="7.5703125" bestFit="1" customWidth="1"/>
    <col min="2050" max="2050" width="12.42578125" bestFit="1" customWidth="1"/>
    <col min="2305" max="2305" width="7.5703125" bestFit="1" customWidth="1"/>
    <col min="2306" max="2306" width="12.42578125" bestFit="1" customWidth="1"/>
    <col min="2561" max="2561" width="7.5703125" bestFit="1" customWidth="1"/>
    <col min="2562" max="2562" width="12.42578125" bestFit="1" customWidth="1"/>
    <col min="2817" max="2817" width="7.5703125" bestFit="1" customWidth="1"/>
    <col min="2818" max="2818" width="12.42578125" bestFit="1" customWidth="1"/>
    <col min="3073" max="3073" width="7.5703125" bestFit="1" customWidth="1"/>
    <col min="3074" max="3074" width="12.42578125" bestFit="1" customWidth="1"/>
    <col min="3329" max="3329" width="7.5703125" bestFit="1" customWidth="1"/>
    <col min="3330" max="3330" width="12.42578125" bestFit="1" customWidth="1"/>
    <col min="3585" max="3585" width="7.5703125" bestFit="1" customWidth="1"/>
    <col min="3586" max="3586" width="12.42578125" bestFit="1" customWidth="1"/>
    <col min="3841" max="3841" width="7.5703125" bestFit="1" customWidth="1"/>
    <col min="3842" max="3842" width="12.42578125" bestFit="1" customWidth="1"/>
    <col min="4097" max="4097" width="7.5703125" bestFit="1" customWidth="1"/>
    <col min="4098" max="4098" width="12.42578125" bestFit="1" customWidth="1"/>
    <col min="4353" max="4353" width="7.5703125" bestFit="1" customWidth="1"/>
    <col min="4354" max="4354" width="12.42578125" bestFit="1" customWidth="1"/>
    <col min="4609" max="4609" width="7.5703125" bestFit="1" customWidth="1"/>
    <col min="4610" max="4610" width="12.42578125" bestFit="1" customWidth="1"/>
    <col min="4865" max="4865" width="7.5703125" bestFit="1" customWidth="1"/>
    <col min="4866" max="4866" width="12.42578125" bestFit="1" customWidth="1"/>
    <col min="5121" max="5121" width="7.5703125" bestFit="1" customWidth="1"/>
    <col min="5122" max="5122" width="12.42578125" bestFit="1" customWidth="1"/>
    <col min="5377" max="5377" width="7.5703125" bestFit="1" customWidth="1"/>
    <col min="5378" max="5378" width="12.42578125" bestFit="1" customWidth="1"/>
    <col min="5633" max="5633" width="7.5703125" bestFit="1" customWidth="1"/>
    <col min="5634" max="5634" width="12.42578125" bestFit="1" customWidth="1"/>
    <col min="5889" max="5889" width="7.5703125" bestFit="1" customWidth="1"/>
    <col min="5890" max="5890" width="12.42578125" bestFit="1" customWidth="1"/>
    <col min="6145" max="6145" width="7.5703125" bestFit="1" customWidth="1"/>
    <col min="6146" max="6146" width="12.42578125" bestFit="1" customWidth="1"/>
    <col min="6401" max="6401" width="7.5703125" bestFit="1" customWidth="1"/>
    <col min="6402" max="6402" width="12.42578125" bestFit="1" customWidth="1"/>
    <col min="6657" max="6657" width="7.5703125" bestFit="1" customWidth="1"/>
    <col min="6658" max="6658" width="12.42578125" bestFit="1" customWidth="1"/>
    <col min="6913" max="6913" width="7.5703125" bestFit="1" customWidth="1"/>
    <col min="6914" max="6914" width="12.42578125" bestFit="1" customWidth="1"/>
    <col min="7169" max="7169" width="7.5703125" bestFit="1" customWidth="1"/>
    <col min="7170" max="7170" width="12.42578125" bestFit="1" customWidth="1"/>
    <col min="7425" max="7425" width="7.5703125" bestFit="1" customWidth="1"/>
    <col min="7426" max="7426" width="12.42578125" bestFit="1" customWidth="1"/>
    <col min="7681" max="7681" width="7.5703125" bestFit="1" customWidth="1"/>
    <col min="7682" max="7682" width="12.42578125" bestFit="1" customWidth="1"/>
    <col min="7937" max="7937" width="7.5703125" bestFit="1" customWidth="1"/>
    <col min="7938" max="7938" width="12.42578125" bestFit="1" customWidth="1"/>
    <col min="8193" max="8193" width="7.5703125" bestFit="1" customWidth="1"/>
    <col min="8194" max="8194" width="12.42578125" bestFit="1" customWidth="1"/>
    <col min="8449" max="8449" width="7.5703125" bestFit="1" customWidth="1"/>
    <col min="8450" max="8450" width="12.42578125" bestFit="1" customWidth="1"/>
    <col min="8705" max="8705" width="7.5703125" bestFit="1" customWidth="1"/>
    <col min="8706" max="8706" width="12.42578125" bestFit="1" customWidth="1"/>
    <col min="8961" max="8961" width="7.5703125" bestFit="1" customWidth="1"/>
    <col min="8962" max="8962" width="12.42578125" bestFit="1" customWidth="1"/>
    <col min="9217" max="9217" width="7.5703125" bestFit="1" customWidth="1"/>
    <col min="9218" max="9218" width="12.42578125" bestFit="1" customWidth="1"/>
    <col min="9473" max="9473" width="7.5703125" bestFit="1" customWidth="1"/>
    <col min="9474" max="9474" width="12.42578125" bestFit="1" customWidth="1"/>
    <col min="9729" max="9729" width="7.5703125" bestFit="1" customWidth="1"/>
    <col min="9730" max="9730" width="12.42578125" bestFit="1" customWidth="1"/>
    <col min="9985" max="9985" width="7.5703125" bestFit="1" customWidth="1"/>
    <col min="9986" max="9986" width="12.42578125" bestFit="1" customWidth="1"/>
    <col min="10241" max="10241" width="7.5703125" bestFit="1" customWidth="1"/>
    <col min="10242" max="10242" width="12.42578125" bestFit="1" customWidth="1"/>
    <col min="10497" max="10497" width="7.5703125" bestFit="1" customWidth="1"/>
    <col min="10498" max="10498" width="12.42578125" bestFit="1" customWidth="1"/>
    <col min="10753" max="10753" width="7.5703125" bestFit="1" customWidth="1"/>
    <col min="10754" max="10754" width="12.42578125" bestFit="1" customWidth="1"/>
    <col min="11009" max="11009" width="7.5703125" bestFit="1" customWidth="1"/>
    <col min="11010" max="11010" width="12.42578125" bestFit="1" customWidth="1"/>
    <col min="11265" max="11265" width="7.5703125" bestFit="1" customWidth="1"/>
    <col min="11266" max="11266" width="12.42578125" bestFit="1" customWidth="1"/>
    <col min="11521" max="11521" width="7.5703125" bestFit="1" customWidth="1"/>
    <col min="11522" max="11522" width="12.42578125" bestFit="1" customWidth="1"/>
    <col min="11777" max="11777" width="7.5703125" bestFit="1" customWidth="1"/>
    <col min="11778" max="11778" width="12.42578125" bestFit="1" customWidth="1"/>
    <col min="12033" max="12033" width="7.5703125" bestFit="1" customWidth="1"/>
    <col min="12034" max="12034" width="12.42578125" bestFit="1" customWidth="1"/>
    <col min="12289" max="12289" width="7.5703125" bestFit="1" customWidth="1"/>
    <col min="12290" max="12290" width="12.42578125" bestFit="1" customWidth="1"/>
    <col min="12545" max="12545" width="7.5703125" bestFit="1" customWidth="1"/>
    <col min="12546" max="12546" width="12.42578125" bestFit="1" customWidth="1"/>
    <col min="12801" max="12801" width="7.5703125" bestFit="1" customWidth="1"/>
    <col min="12802" max="12802" width="12.42578125" bestFit="1" customWidth="1"/>
    <col min="13057" max="13057" width="7.5703125" bestFit="1" customWidth="1"/>
    <col min="13058" max="13058" width="12.42578125" bestFit="1" customWidth="1"/>
    <col min="13313" max="13313" width="7.5703125" bestFit="1" customWidth="1"/>
    <col min="13314" max="13314" width="12.42578125" bestFit="1" customWidth="1"/>
    <col min="13569" max="13569" width="7.5703125" bestFit="1" customWidth="1"/>
    <col min="13570" max="13570" width="12.42578125" bestFit="1" customWidth="1"/>
    <col min="13825" max="13825" width="7.5703125" bestFit="1" customWidth="1"/>
    <col min="13826" max="13826" width="12.42578125" bestFit="1" customWidth="1"/>
    <col min="14081" max="14081" width="7.5703125" bestFit="1" customWidth="1"/>
    <col min="14082" max="14082" width="12.42578125" bestFit="1" customWidth="1"/>
    <col min="14337" max="14337" width="7.5703125" bestFit="1" customWidth="1"/>
    <col min="14338" max="14338" width="12.42578125" bestFit="1" customWidth="1"/>
    <col min="14593" max="14593" width="7.5703125" bestFit="1" customWidth="1"/>
    <col min="14594" max="14594" width="12.42578125" bestFit="1" customWidth="1"/>
    <col min="14849" max="14849" width="7.5703125" bestFit="1" customWidth="1"/>
    <col min="14850" max="14850" width="12.42578125" bestFit="1" customWidth="1"/>
    <col min="15105" max="15105" width="7.5703125" bestFit="1" customWidth="1"/>
    <col min="15106" max="15106" width="12.42578125" bestFit="1" customWidth="1"/>
    <col min="15361" max="15361" width="7.5703125" bestFit="1" customWidth="1"/>
    <col min="15362" max="15362" width="12.42578125" bestFit="1" customWidth="1"/>
    <col min="15617" max="15617" width="7.5703125" bestFit="1" customWidth="1"/>
    <col min="15618" max="15618" width="12.42578125" bestFit="1" customWidth="1"/>
    <col min="15873" max="15873" width="7.5703125" bestFit="1" customWidth="1"/>
    <col min="15874" max="15874" width="12.42578125" bestFit="1" customWidth="1"/>
    <col min="16129" max="16129" width="7.5703125" bestFit="1" customWidth="1"/>
    <col min="16130" max="16130" width="12.42578125" bestFit="1" customWidth="1"/>
  </cols>
  <sheetData>
    <row r="2" spans="1:5">
      <c r="A2" s="97" t="s">
        <v>318</v>
      </c>
      <c r="B2" s="98" t="s">
        <v>359</v>
      </c>
    </row>
    <row r="3" spans="1:5">
      <c r="A3" s="99" t="s">
        <v>360</v>
      </c>
      <c r="B3" s="100">
        <v>9119344</v>
      </c>
      <c r="C3" s="107">
        <v>3097363</v>
      </c>
      <c r="D3" s="107">
        <v>6021981</v>
      </c>
      <c r="E3" s="110">
        <f>B10-B3</f>
        <v>1980132.4362930488</v>
      </c>
    </row>
    <row r="4" spans="1:5">
      <c r="A4" s="99" t="s">
        <v>188</v>
      </c>
      <c r="B4" s="100">
        <v>9304572</v>
      </c>
      <c r="C4" s="107">
        <v>3193636</v>
      </c>
      <c r="D4" s="107">
        <v>6110936</v>
      </c>
    </row>
    <row r="5" spans="1:5">
      <c r="A5" s="99" t="s">
        <v>10</v>
      </c>
      <c r="B5" s="100">
        <v>9556195.4636951741</v>
      </c>
      <c r="C5" s="107">
        <v>3055342.5667203777</v>
      </c>
      <c r="D5" s="107">
        <v>6500852.8969747983</v>
      </c>
    </row>
    <row r="6" spans="1:5">
      <c r="A6" s="99" t="s">
        <v>189</v>
      </c>
      <c r="B6" s="100">
        <v>9741474.74501854</v>
      </c>
      <c r="C6" s="107">
        <v>3180354.739457286</v>
      </c>
      <c r="D6" s="107">
        <v>6561120.0055612531</v>
      </c>
    </row>
    <row r="7" spans="1:5">
      <c r="A7" s="101" t="s">
        <v>361</v>
      </c>
      <c r="B7" s="102">
        <v>10103766.859908402</v>
      </c>
      <c r="C7" s="108">
        <v>3296529.6677864725</v>
      </c>
      <c r="D7" s="108">
        <v>6807237.1921219286</v>
      </c>
    </row>
    <row r="8" spans="1:5">
      <c r="A8" s="101" t="s">
        <v>362</v>
      </c>
      <c r="B8" s="102">
        <v>10385481.864747155</v>
      </c>
      <c r="C8" s="108">
        <v>3389856.358281815</v>
      </c>
      <c r="D8" s="108">
        <v>6995625.50646534</v>
      </c>
    </row>
    <row r="9" spans="1:5">
      <c r="A9" s="101" t="s">
        <v>363</v>
      </c>
      <c r="B9" s="102">
        <v>10739448.399677569</v>
      </c>
      <c r="C9" s="108">
        <v>3527167.9133320497</v>
      </c>
      <c r="D9" s="108">
        <v>7212280.4863455193</v>
      </c>
    </row>
    <row r="10" spans="1:5">
      <c r="A10" s="103" t="s">
        <v>364</v>
      </c>
      <c r="B10" s="104">
        <v>11099476.436293049</v>
      </c>
      <c r="C10" s="109">
        <v>3684565.6181762055</v>
      </c>
      <c r="D10" s="109">
        <v>7414910.8181168428</v>
      </c>
    </row>
    <row r="11" spans="1:5">
      <c r="A11" s="99" t="s">
        <v>360</v>
      </c>
      <c r="C11" s="111">
        <f>C3/$B3</f>
        <v>0.33964756675480168</v>
      </c>
      <c r="D11" s="111">
        <f>D3/$B3</f>
        <v>0.66035243324519832</v>
      </c>
    </row>
    <row r="12" spans="1:5">
      <c r="A12" s="99" t="s">
        <v>188</v>
      </c>
      <c r="C12" s="111">
        <f t="shared" ref="C12:D12" si="0">C4/$B4</f>
        <v>0.34323298266701574</v>
      </c>
      <c r="D12" s="111">
        <f t="shared" si="0"/>
        <v>0.65676701733298426</v>
      </c>
    </row>
    <row r="13" spans="1:5">
      <c r="A13" s="99" t="s">
        <v>10</v>
      </c>
      <c r="C13" s="111">
        <f t="shared" ref="C13:D13" si="1">C5/$B5</f>
        <v>0.3197237413495666</v>
      </c>
      <c r="D13" s="111">
        <f t="shared" si="1"/>
        <v>0.68027625865043362</v>
      </c>
    </row>
    <row r="14" spans="1:5">
      <c r="A14" s="99" t="s">
        <v>189</v>
      </c>
      <c r="C14" s="111">
        <f t="shared" ref="C14:D14" si="2">C6/$B6</f>
        <v>0.32647569517989167</v>
      </c>
      <c r="D14" s="111">
        <f t="shared" si="2"/>
        <v>0.67352430482010817</v>
      </c>
    </row>
    <row r="15" spans="1:5">
      <c r="A15" s="101" t="s">
        <v>361</v>
      </c>
      <c r="C15" s="111">
        <f t="shared" ref="C15:D15" si="3">C7/$B7</f>
        <v>0.32626739249764891</v>
      </c>
      <c r="D15" s="111">
        <f t="shared" si="3"/>
        <v>0.67373260750235098</v>
      </c>
    </row>
    <row r="16" spans="1:5">
      <c r="A16" s="101" t="s">
        <v>362</v>
      </c>
      <c r="C16" s="111">
        <f t="shared" ref="C16:D16" si="4">C8/$B8</f>
        <v>0.32640337756387233</v>
      </c>
      <c r="D16" s="111">
        <f t="shared" si="4"/>
        <v>0.67359662243612761</v>
      </c>
    </row>
    <row r="17" spans="1:6">
      <c r="A17" s="101" t="s">
        <v>363</v>
      </c>
      <c r="C17" s="111">
        <f t="shared" ref="C17:D17" si="5">C9/$B9</f>
        <v>0.32843101266150188</v>
      </c>
      <c r="D17" s="111">
        <f t="shared" si="5"/>
        <v>0.67156898733849812</v>
      </c>
    </row>
    <row r="18" spans="1:6">
      <c r="A18" s="103" t="s">
        <v>364</v>
      </c>
      <c r="C18" s="111">
        <f t="shared" ref="C18:D18" si="6">C10/$B10</f>
        <v>0.33195850627047768</v>
      </c>
      <c r="D18" s="111">
        <f t="shared" si="6"/>
        <v>0.66804149372952226</v>
      </c>
    </row>
    <row r="21" spans="1:6">
      <c r="A21" s="97" t="s">
        <v>318</v>
      </c>
      <c r="B21" s="98" t="s">
        <v>359</v>
      </c>
      <c r="C21" s="105" t="s">
        <v>365</v>
      </c>
      <c r="D21" s="98" t="s">
        <v>366</v>
      </c>
      <c r="F21" t="s">
        <v>367</v>
      </c>
    </row>
    <row r="22" spans="1:6">
      <c r="A22" s="99" t="s">
        <v>360</v>
      </c>
      <c r="B22" s="106">
        <f>B3/1000000</f>
        <v>9.1193439999999999</v>
      </c>
      <c r="C22" s="107">
        <v>3097363</v>
      </c>
      <c r="D22" s="107">
        <v>6021981</v>
      </c>
    </row>
    <row r="23" spans="1:6">
      <c r="A23" s="99" t="s">
        <v>188</v>
      </c>
      <c r="B23" s="106">
        <f t="shared" ref="B23:B29" si="7">B4/1000000</f>
        <v>9.3045720000000003</v>
      </c>
      <c r="C23" s="107">
        <v>3193636</v>
      </c>
      <c r="D23" s="107">
        <v>6110936</v>
      </c>
    </row>
    <row r="24" spans="1:6">
      <c r="A24" s="99" t="s">
        <v>10</v>
      </c>
      <c r="B24" s="106">
        <f t="shared" si="7"/>
        <v>9.5561954636951736</v>
      </c>
      <c r="C24" s="107">
        <v>3055342.5667203777</v>
      </c>
      <c r="D24" s="107">
        <v>6500852.8969747983</v>
      </c>
    </row>
    <row r="25" spans="1:6">
      <c r="A25" s="99" t="s">
        <v>189</v>
      </c>
      <c r="B25" s="106">
        <f t="shared" si="7"/>
        <v>9.7414747450185395</v>
      </c>
      <c r="C25" s="107">
        <v>3180354.739457286</v>
      </c>
      <c r="D25" s="107">
        <v>6561120.0055612531</v>
      </c>
    </row>
    <row r="26" spans="1:6">
      <c r="A26" s="101" t="s">
        <v>368</v>
      </c>
      <c r="B26" s="106">
        <f t="shared" si="7"/>
        <v>10.103766859908403</v>
      </c>
      <c r="C26" s="108">
        <v>3296529.6677864725</v>
      </c>
      <c r="D26" s="108">
        <v>6807237.1921219286</v>
      </c>
    </row>
    <row r="27" spans="1:6">
      <c r="A27" s="101" t="s">
        <v>369</v>
      </c>
      <c r="B27" s="106">
        <f t="shared" si="7"/>
        <v>10.385481864747156</v>
      </c>
      <c r="C27" s="108">
        <v>3389856.358281815</v>
      </c>
      <c r="D27" s="108">
        <v>6995625.50646534</v>
      </c>
    </row>
    <row r="28" spans="1:6">
      <c r="A28" s="101" t="s">
        <v>370</v>
      </c>
      <c r="B28" s="106">
        <f t="shared" si="7"/>
        <v>10.739448399677569</v>
      </c>
      <c r="C28" s="108">
        <v>3527167.9133320497</v>
      </c>
      <c r="D28" s="108">
        <v>7212280.4863455193</v>
      </c>
    </row>
    <row r="29" spans="1:6">
      <c r="A29" s="101" t="s">
        <v>371</v>
      </c>
      <c r="B29" s="106">
        <f t="shared" si="7"/>
        <v>11.099476436293049</v>
      </c>
      <c r="C29" s="109">
        <v>3684565.6181762055</v>
      </c>
      <c r="D29" s="109">
        <v>7414910.8181168428</v>
      </c>
    </row>
  </sheetData>
  <phoneticPr fontId="3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B3CC-6B5B-4C2F-B85F-B7E2DA573CB5}">
  <dimension ref="B1:M4"/>
  <sheetViews>
    <sheetView zoomScale="85" zoomScaleNormal="85" workbookViewId="0">
      <selection activeCell="I1" sqref="I1:K1"/>
    </sheetView>
  </sheetViews>
  <sheetFormatPr baseColWidth="10" defaultRowHeight="12.75"/>
  <cols>
    <col min="1" max="16384" width="11.42578125" style="56"/>
  </cols>
  <sheetData>
    <row r="1" spans="2:13">
      <c r="C1" s="57">
        <v>2016</v>
      </c>
      <c r="D1" s="57">
        <v>2017</v>
      </c>
      <c r="E1" s="57">
        <v>2018</v>
      </c>
      <c r="F1" s="57">
        <v>2019</v>
      </c>
      <c r="G1" s="57">
        <v>2020</v>
      </c>
      <c r="H1" s="57">
        <v>2021</v>
      </c>
      <c r="I1" s="57" t="s">
        <v>377</v>
      </c>
      <c r="J1" s="57" t="s">
        <v>378</v>
      </c>
      <c r="K1" s="57" t="s">
        <v>411</v>
      </c>
    </row>
    <row r="2" spans="2:13">
      <c r="B2" s="56">
        <v>3284.3000999999999</v>
      </c>
      <c r="C2" s="58">
        <v>2615.8445200000001</v>
      </c>
      <c r="D2" s="58">
        <v>2606.4294</v>
      </c>
      <c r="E2" s="58">
        <v>3244.35851</v>
      </c>
      <c r="F2" s="58">
        <v>5169.4044899999999</v>
      </c>
      <c r="G2" s="58">
        <v>16666.210739999999</v>
      </c>
      <c r="H2" s="58">
        <v>19142.386440000002</v>
      </c>
      <c r="I2" s="58">
        <v>21249.386909999997</v>
      </c>
      <c r="J2" s="58">
        <v>29301.807970000002</v>
      </c>
      <c r="K2" s="58">
        <v>43439.010710000002</v>
      </c>
      <c r="M2" s="175">
        <f>K2-J2</f>
        <v>14137.202740000001</v>
      </c>
    </row>
    <row r="4" spans="2:13">
      <c r="B4" s="56" t="s">
        <v>418</v>
      </c>
    </row>
  </sheetData>
  <phoneticPr fontId="31" type="noConversion"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4B82-51EB-41FE-99C4-ADBC7B658ED4}">
  <dimension ref="B1:Y37"/>
  <sheetViews>
    <sheetView tabSelected="1" topLeftCell="A10" zoomScale="85" zoomScaleNormal="85" workbookViewId="0">
      <selection activeCell="L30" sqref="L30"/>
    </sheetView>
  </sheetViews>
  <sheetFormatPr baseColWidth="10" defaultRowHeight="12.75"/>
  <cols>
    <col min="1" max="16384" width="11.42578125" style="56"/>
  </cols>
  <sheetData>
    <row r="1" spans="2:25">
      <c r="B1" s="59"/>
      <c r="C1" s="90">
        <v>2015</v>
      </c>
      <c r="D1" s="90">
        <v>2016</v>
      </c>
      <c r="E1" s="90">
        <v>2017</v>
      </c>
      <c r="F1" s="90">
        <v>2018</v>
      </c>
      <c r="G1" s="90">
        <v>2019</v>
      </c>
      <c r="H1" s="90">
        <v>2020</v>
      </c>
      <c r="I1" s="90">
        <v>2021</v>
      </c>
      <c r="J1" s="57" t="s">
        <v>377</v>
      </c>
      <c r="K1" s="57">
        <v>2023</v>
      </c>
      <c r="L1" s="57" t="s">
        <v>411</v>
      </c>
      <c r="M1" s="57" t="s">
        <v>422</v>
      </c>
      <c r="P1" s="89">
        <v>2016</v>
      </c>
      <c r="Q1" s="89">
        <v>2017</v>
      </c>
      <c r="R1" s="89">
        <v>2018</v>
      </c>
      <c r="S1" s="89">
        <v>2019</v>
      </c>
      <c r="T1" s="89">
        <v>2020</v>
      </c>
      <c r="U1" s="89">
        <v>2021</v>
      </c>
      <c r="V1" s="89">
        <v>2022</v>
      </c>
      <c r="W1" s="89">
        <v>2023</v>
      </c>
      <c r="X1" s="89">
        <v>2024</v>
      </c>
      <c r="Y1" s="57" t="s">
        <v>411</v>
      </c>
    </row>
    <row r="2" spans="2:25">
      <c r="B2" s="59" t="s">
        <v>321</v>
      </c>
      <c r="C2" s="58">
        <v>3.2843000999999998</v>
      </c>
      <c r="D2" s="58">
        <v>2.61584452</v>
      </c>
      <c r="E2" s="58">
        <v>2.6064294000000001</v>
      </c>
      <c r="F2" s="58">
        <v>3.2443585100000001</v>
      </c>
      <c r="G2" s="58">
        <v>5.1694044899999998</v>
      </c>
      <c r="H2" s="58">
        <v>16.66621074</v>
      </c>
      <c r="I2" s="58">
        <v>19.142386440000003</v>
      </c>
      <c r="J2" s="58">
        <v>21.249386909999998</v>
      </c>
      <c r="K2" s="62">
        <v>29.301807970000002</v>
      </c>
      <c r="L2" s="62">
        <f>(Q6/1000)/1000</f>
        <v>46.892895130000007</v>
      </c>
      <c r="M2" s="62">
        <f>(R6/1000)/1000</f>
        <v>43.882590670000006</v>
      </c>
      <c r="O2" s="56" t="s">
        <v>353</v>
      </c>
      <c r="P2" s="58">
        <v>3284.3000999999999</v>
      </c>
      <c r="Q2" s="58">
        <v>2615.8445200000001</v>
      </c>
      <c r="R2" s="58">
        <v>2606.4294</v>
      </c>
      <c r="S2" s="58">
        <v>3244.35851</v>
      </c>
      <c r="T2" s="58">
        <v>5169.4044899999999</v>
      </c>
      <c r="U2" s="58">
        <v>16666.210739999999</v>
      </c>
      <c r="V2" s="58">
        <v>19142.386440000002</v>
      </c>
      <c r="W2" s="58">
        <v>21249.386909999997</v>
      </c>
      <c r="X2" s="58">
        <v>29301.807970000002</v>
      </c>
      <c r="Y2" s="58">
        <v>43439.010710000002</v>
      </c>
    </row>
    <row r="3" spans="2:25">
      <c r="B3" s="59" t="s">
        <v>322</v>
      </c>
      <c r="C3" s="60"/>
      <c r="D3" s="61">
        <f>(D2-C2)/C2</f>
        <v>-0.20353060306517051</v>
      </c>
      <c r="E3" s="61">
        <f t="shared" ref="E3:M3" si="0">(E2-D2)/D2</f>
        <v>-3.5992659074400523E-3</v>
      </c>
      <c r="F3" s="61">
        <f t="shared" si="0"/>
        <v>0.24475211567211447</v>
      </c>
      <c r="G3" s="61">
        <f t="shared" si="0"/>
        <v>0.59335180562397205</v>
      </c>
      <c r="H3" s="61">
        <f t="shared" si="0"/>
        <v>2.2240098007884854</v>
      </c>
      <c r="I3" s="61">
        <f t="shared" si="0"/>
        <v>0.14857460634750155</v>
      </c>
      <c r="J3" s="61">
        <f t="shared" si="0"/>
        <v>0.11006989523506847</v>
      </c>
      <c r="K3" s="61">
        <f t="shared" si="0"/>
        <v>0.37894839479865278</v>
      </c>
      <c r="L3" s="61">
        <f t="shared" si="0"/>
        <v>0.6003413570251448</v>
      </c>
      <c r="M3" s="61">
        <f>(M2-L2)/L2</f>
        <v>-6.4195321096183297E-2</v>
      </c>
      <c r="O3" s="56" t="s">
        <v>354</v>
      </c>
      <c r="P3" s="62">
        <f>P2/1000</f>
        <v>3.2843000999999998</v>
      </c>
      <c r="Q3" s="62">
        <f>Q2/1000</f>
        <v>2.61584452</v>
      </c>
      <c r="R3" s="62">
        <f t="shared" ref="R3:W3" si="1">R2/1000</f>
        <v>2.6064294000000001</v>
      </c>
      <c r="S3" s="62">
        <f t="shared" si="1"/>
        <v>3.2443585100000001</v>
      </c>
      <c r="T3" s="62">
        <f t="shared" si="1"/>
        <v>5.1694044899999998</v>
      </c>
      <c r="U3" s="62">
        <f t="shared" si="1"/>
        <v>16.66621074</v>
      </c>
      <c r="V3" s="62">
        <f t="shared" si="1"/>
        <v>19.142386440000003</v>
      </c>
      <c r="W3" s="62">
        <f t="shared" si="1"/>
        <v>21.249386909999998</v>
      </c>
      <c r="X3" s="62">
        <f>X2/1000</f>
        <v>29.301807970000002</v>
      </c>
      <c r="Y3" s="62">
        <f>Y2/1000</f>
        <v>43.439010710000005</v>
      </c>
    </row>
    <row r="4" spans="2:25">
      <c r="B4" s="59" t="s">
        <v>323</v>
      </c>
      <c r="C4" s="60"/>
      <c r="D4" s="63">
        <f>D2-C2</f>
        <v>-0.66845557999999983</v>
      </c>
      <c r="E4" s="63">
        <f t="shared" ref="E4:M4" si="2">E2-D2</f>
        <v>-9.415119999999888E-3</v>
      </c>
      <c r="F4" s="63">
        <f t="shared" si="2"/>
        <v>0.63792910999999997</v>
      </c>
      <c r="G4" s="63">
        <f t="shared" si="2"/>
        <v>1.9250459799999997</v>
      </c>
      <c r="H4" s="63">
        <f t="shared" si="2"/>
        <v>11.496806250000001</v>
      </c>
      <c r="I4" s="63">
        <f t="shared" si="2"/>
        <v>2.4761757000000024</v>
      </c>
      <c r="J4" s="63">
        <f t="shared" si="2"/>
        <v>2.1070004699999956</v>
      </c>
      <c r="K4" s="63">
        <f t="shared" si="2"/>
        <v>8.0524210600000039</v>
      </c>
      <c r="L4" s="63">
        <f t="shared" si="2"/>
        <v>17.591087160000004</v>
      </c>
      <c r="M4" s="63">
        <f>M2-L2</f>
        <v>-3.0103044600000004</v>
      </c>
    </row>
    <row r="6" spans="2:25">
      <c r="D6" s="95">
        <f>AVERAGE(D3:G3)</f>
        <v>0.15774351308086898</v>
      </c>
      <c r="F6" s="95">
        <f>AVERAGE(H3:K3)</f>
        <v>0.71540067429242704</v>
      </c>
      <c r="Q6" s="191">
        <v>46892895.130000003</v>
      </c>
      <c r="R6" s="191">
        <v>43882590.670000002</v>
      </c>
    </row>
    <row r="9" spans="2:25">
      <c r="B9" s="56" t="s">
        <v>324</v>
      </c>
      <c r="I9" s="56" t="s">
        <v>325</v>
      </c>
    </row>
    <row r="33" spans="2:5">
      <c r="B33" s="56" t="s">
        <v>423</v>
      </c>
    </row>
    <row r="36" spans="2:5">
      <c r="B36" s="56" t="s">
        <v>424</v>
      </c>
      <c r="C36" s="56" t="s">
        <v>425</v>
      </c>
      <c r="D36" s="56" t="s">
        <v>426</v>
      </c>
      <c r="E36" s="56" t="s">
        <v>427</v>
      </c>
    </row>
    <row r="37" spans="2:5">
      <c r="B37" s="192"/>
      <c r="C37" s="193"/>
      <c r="D37" s="194"/>
      <c r="E37" s="195"/>
    </row>
  </sheetData>
  <phoneticPr fontId="31" type="noConversion"/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236A-D745-4183-8CA3-5EDC115507C3}">
  <dimension ref="A1:J27"/>
  <sheetViews>
    <sheetView showGridLines="0" zoomScaleNormal="100" workbookViewId="0">
      <selection activeCell="B16" sqref="B16:J16"/>
    </sheetView>
  </sheetViews>
  <sheetFormatPr baseColWidth="10" defaultRowHeight="14.25"/>
  <cols>
    <col min="1" max="1" width="50.28515625" style="27" bestFit="1" customWidth="1"/>
    <col min="2" max="8" width="15.5703125" style="27" bestFit="1" customWidth="1"/>
    <col min="9" max="16384" width="11.42578125" style="27"/>
  </cols>
  <sheetData>
    <row r="1" spans="1:10">
      <c r="A1" s="64"/>
      <c r="B1" s="65">
        <v>2016</v>
      </c>
      <c r="C1" s="65">
        <v>2017</v>
      </c>
      <c r="D1" s="65">
        <v>2018</v>
      </c>
      <c r="E1" s="65">
        <v>2019</v>
      </c>
      <c r="F1" s="65">
        <v>2020</v>
      </c>
      <c r="G1" s="65">
        <v>2021</v>
      </c>
      <c r="H1" s="65" t="s">
        <v>377</v>
      </c>
      <c r="I1" s="65" t="s">
        <v>378</v>
      </c>
      <c r="J1" s="65" t="s">
        <v>411</v>
      </c>
    </row>
    <row r="2" spans="1:10">
      <c r="A2" s="65" t="s">
        <v>326</v>
      </c>
      <c r="B2" s="65" t="s">
        <v>327</v>
      </c>
      <c r="C2" s="65" t="s">
        <v>327</v>
      </c>
      <c r="D2" s="65" t="s">
        <v>327</v>
      </c>
      <c r="E2" s="65" t="s">
        <v>327</v>
      </c>
      <c r="F2" s="65" t="s">
        <v>327</v>
      </c>
      <c r="G2" s="65" t="s">
        <v>327</v>
      </c>
      <c r="H2" s="65" t="s">
        <v>327</v>
      </c>
      <c r="I2" s="65" t="s">
        <v>327</v>
      </c>
    </row>
    <row r="3" spans="1:10">
      <c r="A3" s="66" t="s">
        <v>328</v>
      </c>
      <c r="B3" s="67">
        <v>784008.86</v>
      </c>
      <c r="C3" s="67">
        <v>664727.32999999996</v>
      </c>
      <c r="D3" s="67">
        <v>821891.4</v>
      </c>
      <c r="E3" s="67">
        <v>519486.19</v>
      </c>
      <c r="F3" s="67">
        <v>721376.71</v>
      </c>
      <c r="G3" s="67">
        <v>675587.25</v>
      </c>
      <c r="H3" s="68">
        <v>0</v>
      </c>
      <c r="J3" s="27">
        <v>109819.09</v>
      </c>
    </row>
    <row r="4" spans="1:10">
      <c r="A4" s="69" t="s">
        <v>329</v>
      </c>
      <c r="B4" s="68">
        <v>0</v>
      </c>
      <c r="C4" s="68">
        <v>0</v>
      </c>
      <c r="D4" s="68">
        <v>0</v>
      </c>
      <c r="E4" s="68">
        <v>0</v>
      </c>
      <c r="F4" s="68">
        <v>0</v>
      </c>
      <c r="G4" s="68">
        <v>0</v>
      </c>
      <c r="H4" s="67">
        <v>72452.98</v>
      </c>
      <c r="I4" s="91">
        <v>131229.53</v>
      </c>
      <c r="J4" s="27">
        <v>1811788.8599999999</v>
      </c>
    </row>
    <row r="5" spans="1:10">
      <c r="A5" s="66" t="s">
        <v>330</v>
      </c>
      <c r="B5" s="67">
        <v>373258.94</v>
      </c>
      <c r="C5" s="67">
        <v>292400.12</v>
      </c>
      <c r="D5" s="67">
        <v>515681.49</v>
      </c>
      <c r="E5" s="67">
        <v>2551580.16</v>
      </c>
      <c r="F5" s="67">
        <v>14486518.51</v>
      </c>
      <c r="G5" s="67">
        <v>16802979.68</v>
      </c>
      <c r="H5" s="67">
        <v>70746.47</v>
      </c>
    </row>
    <row r="6" spans="1:10">
      <c r="A6" s="69" t="s">
        <v>331</v>
      </c>
      <c r="B6" s="68">
        <v>0</v>
      </c>
      <c r="C6" s="68">
        <v>0</v>
      </c>
      <c r="D6" s="68">
        <v>0</v>
      </c>
      <c r="E6" s="68">
        <v>0</v>
      </c>
      <c r="F6" s="68">
        <v>0</v>
      </c>
      <c r="G6" s="68">
        <v>0</v>
      </c>
      <c r="H6" s="67">
        <v>2628275.04</v>
      </c>
      <c r="I6" s="91">
        <v>2041312.54</v>
      </c>
    </row>
    <row r="7" spans="1:10">
      <c r="A7" s="66" t="s">
        <v>332</v>
      </c>
      <c r="B7" s="68">
        <v>0</v>
      </c>
      <c r="C7" s="68">
        <v>0</v>
      </c>
      <c r="D7" s="68">
        <v>0</v>
      </c>
      <c r="E7" s="68">
        <v>0</v>
      </c>
      <c r="F7" s="68">
        <v>0</v>
      </c>
      <c r="G7" s="68">
        <v>0</v>
      </c>
      <c r="H7" s="67">
        <v>16725756.77</v>
      </c>
      <c r="I7" s="91">
        <v>25074029.260000002</v>
      </c>
    </row>
    <row r="8" spans="1:10">
      <c r="A8" s="70" t="s">
        <v>333</v>
      </c>
      <c r="B8" s="67">
        <v>1458576.72</v>
      </c>
      <c r="C8" s="67">
        <v>1649301.95</v>
      </c>
      <c r="D8" s="67">
        <v>1906785.62</v>
      </c>
      <c r="E8" s="67">
        <v>2098338.14</v>
      </c>
      <c r="F8" s="67">
        <v>1458315.52</v>
      </c>
      <c r="G8" s="67">
        <v>1663819.51</v>
      </c>
      <c r="H8" s="67">
        <v>1752155.65</v>
      </c>
      <c r="I8" s="91">
        <v>2055236.64</v>
      </c>
    </row>
    <row r="10" spans="1:10">
      <c r="A10" s="71" t="s">
        <v>334</v>
      </c>
    </row>
    <row r="12" spans="1:10">
      <c r="B12" s="65">
        <v>2016</v>
      </c>
      <c r="C12" s="65">
        <v>2017</v>
      </c>
      <c r="D12" s="65">
        <v>2018</v>
      </c>
      <c r="E12" s="65">
        <v>2019</v>
      </c>
      <c r="F12" s="65">
        <v>2020</v>
      </c>
      <c r="G12" s="65">
        <v>2021</v>
      </c>
      <c r="H12" s="65" t="s">
        <v>377</v>
      </c>
      <c r="I12" s="65" t="s">
        <v>378</v>
      </c>
      <c r="J12" s="65" t="s">
        <v>411</v>
      </c>
    </row>
    <row r="13" spans="1:10">
      <c r="A13" s="27" t="s">
        <v>335</v>
      </c>
      <c r="B13" s="28">
        <v>784008.86</v>
      </c>
      <c r="C13" s="28">
        <v>664727.32999999996</v>
      </c>
      <c r="D13" s="28">
        <v>821891.4</v>
      </c>
      <c r="E13" s="28">
        <v>519486.19</v>
      </c>
      <c r="F13" s="28">
        <v>721376.71</v>
      </c>
      <c r="G13" s="28">
        <v>675587.25</v>
      </c>
      <c r="H13" s="28">
        <v>72452.98</v>
      </c>
      <c r="I13" s="28">
        <f>+I4</f>
        <v>131229.53</v>
      </c>
      <c r="J13" s="27">
        <f>J3+J4</f>
        <v>1921607.95</v>
      </c>
    </row>
    <row r="14" spans="1:10" ht="15">
      <c r="A14" s="27" t="s">
        <v>336</v>
      </c>
      <c r="B14" s="28">
        <v>373258.94</v>
      </c>
      <c r="C14" s="28">
        <v>292400.12</v>
      </c>
      <c r="D14" s="28">
        <v>515681.49</v>
      </c>
      <c r="E14" s="28">
        <v>2551580.16</v>
      </c>
      <c r="F14" s="28">
        <v>14486518.51</v>
      </c>
      <c r="G14" s="28">
        <v>16802979.68</v>
      </c>
      <c r="H14" s="28">
        <v>19424778.280000001</v>
      </c>
      <c r="I14" s="28">
        <f>+I6+I7</f>
        <v>27115341.800000001</v>
      </c>
      <c r="J14" s="131">
        <v>38764456.469999999</v>
      </c>
    </row>
    <row r="15" spans="1:10" ht="15">
      <c r="A15" s="27" t="s">
        <v>337</v>
      </c>
      <c r="B15" s="67">
        <v>1458576.72</v>
      </c>
      <c r="C15" s="67">
        <v>1649301.95</v>
      </c>
      <c r="D15" s="67">
        <v>1906785.62</v>
      </c>
      <c r="E15" s="67">
        <v>2098338.14</v>
      </c>
      <c r="F15" s="67">
        <v>1458315.52</v>
      </c>
      <c r="G15" s="67">
        <v>1663819.51</v>
      </c>
      <c r="H15" s="67">
        <v>1752155.65</v>
      </c>
      <c r="I15" s="67">
        <f>+I8</f>
        <v>2055236.64</v>
      </c>
      <c r="J15" s="131">
        <v>1811788.8599999999</v>
      </c>
    </row>
    <row r="16" spans="1:10">
      <c r="B16" s="28">
        <f t="shared" ref="B16:H16" si="0">SUM(B13:B15)</f>
        <v>2615844.52</v>
      </c>
      <c r="C16" s="28">
        <f t="shared" si="0"/>
        <v>2606429.4</v>
      </c>
      <c r="D16" s="28">
        <f t="shared" si="0"/>
        <v>3244358.5100000002</v>
      </c>
      <c r="E16" s="28">
        <f t="shared" si="0"/>
        <v>5169404.49</v>
      </c>
      <c r="F16" s="28">
        <f t="shared" si="0"/>
        <v>16666210.739999998</v>
      </c>
      <c r="G16" s="28">
        <f t="shared" si="0"/>
        <v>19142386.440000001</v>
      </c>
      <c r="H16" s="28">
        <f t="shared" si="0"/>
        <v>21249386.91</v>
      </c>
      <c r="I16" s="28">
        <f t="shared" ref="I16:J16" si="1">SUM(I13:I15)</f>
        <v>29301807.970000003</v>
      </c>
      <c r="J16" s="28">
        <f t="shared" si="1"/>
        <v>42497853.280000001</v>
      </c>
    </row>
    <row r="17" spans="1:10" customFormat="1" ht="15"/>
    <row r="18" spans="1:10">
      <c r="B18" s="65">
        <v>2016</v>
      </c>
      <c r="C18" s="65">
        <v>2017</v>
      </c>
      <c r="D18" s="65">
        <v>2018</v>
      </c>
      <c r="E18" s="65">
        <v>2019</v>
      </c>
      <c r="F18" s="65">
        <v>2020</v>
      </c>
      <c r="G18" s="65">
        <v>2021</v>
      </c>
      <c r="H18" s="65" t="s">
        <v>377</v>
      </c>
      <c r="I18" s="65" t="s">
        <v>378</v>
      </c>
      <c r="J18" s="65" t="s">
        <v>411</v>
      </c>
    </row>
    <row r="19" spans="1:10" ht="15">
      <c r="A19" s="73" t="s">
        <v>335</v>
      </c>
      <c r="B19" s="72">
        <f t="shared" ref="B19:H21" si="2">B13/B$16</f>
        <v>0.29971538981223544</v>
      </c>
      <c r="C19" s="72">
        <f t="shared" si="2"/>
        <v>0.25503369859164415</v>
      </c>
      <c r="D19" s="72">
        <f t="shared" si="2"/>
        <v>0.2533294016264559</v>
      </c>
      <c r="E19" s="72">
        <f t="shared" si="2"/>
        <v>0.10049246310767992</v>
      </c>
      <c r="F19" s="72">
        <f t="shared" si="2"/>
        <v>4.3283786653954194E-2</v>
      </c>
      <c r="G19" s="72">
        <f t="shared" si="2"/>
        <v>3.5292739080237688E-2</v>
      </c>
      <c r="H19" s="72">
        <f t="shared" si="2"/>
        <v>3.4096503728257444E-3</v>
      </c>
      <c r="I19" s="72">
        <f t="shared" ref="I19:J19" si="3">I13/I$16</f>
        <v>4.478547198669666E-3</v>
      </c>
      <c r="J19" s="72">
        <f t="shared" si="3"/>
        <v>4.5216588643651127E-2</v>
      </c>
    </row>
    <row r="20" spans="1:10" ht="15">
      <c r="A20" s="73" t="s">
        <v>336</v>
      </c>
      <c r="B20" s="72">
        <f t="shared" si="2"/>
        <v>0.14269156180582171</v>
      </c>
      <c r="C20" s="72">
        <f t="shared" si="2"/>
        <v>0.11218417042103654</v>
      </c>
      <c r="D20" s="72">
        <f t="shared" si="2"/>
        <v>0.15894713497615279</v>
      </c>
      <c r="E20" s="72">
        <f t="shared" si="2"/>
        <v>0.49359266912386651</v>
      </c>
      <c r="F20" s="72">
        <f t="shared" si="2"/>
        <v>0.86921488849480377</v>
      </c>
      <c r="G20" s="72">
        <f t="shared" si="2"/>
        <v>0.87778917914270249</v>
      </c>
      <c r="H20" s="72">
        <f t="shared" si="2"/>
        <v>0.91413358711345527</v>
      </c>
      <c r="I20" s="72">
        <f t="shared" ref="I20:J20" si="4">I14/I$16</f>
        <v>0.92538118561699112</v>
      </c>
      <c r="J20" s="72">
        <f t="shared" si="4"/>
        <v>0.91215093182702045</v>
      </c>
    </row>
    <row r="21" spans="1:10" ht="15">
      <c r="A21" s="73" t="s">
        <v>337</v>
      </c>
      <c r="B21" s="72">
        <f t="shared" si="2"/>
        <v>0.55759304838194279</v>
      </c>
      <c r="C21" s="72">
        <f t="shared" si="2"/>
        <v>0.63278213098731928</v>
      </c>
      <c r="D21" s="72">
        <f t="shared" si="2"/>
        <v>0.58772346339739134</v>
      </c>
      <c r="E21" s="72">
        <f t="shared" si="2"/>
        <v>0.40591486776845354</v>
      </c>
      <c r="F21" s="72">
        <f t="shared" si="2"/>
        <v>8.750132485124211E-2</v>
      </c>
      <c r="G21" s="72">
        <f t="shared" si="2"/>
        <v>8.6918081777059758E-2</v>
      </c>
      <c r="H21" s="72">
        <f>H15/H$16</f>
        <v>8.2456762513719029E-2</v>
      </c>
      <c r="I21" s="72">
        <f>I15/I$16</f>
        <v>7.0140267184339203E-2</v>
      </c>
      <c r="J21" s="72">
        <f>J15/J$16</f>
        <v>4.2632479529328353E-2</v>
      </c>
    </row>
    <row r="22" spans="1:10">
      <c r="A22" s="74" t="s">
        <v>26</v>
      </c>
      <c r="B22" s="72">
        <f>B16/B$16</f>
        <v>1</v>
      </c>
      <c r="C22" s="72">
        <f t="shared" ref="C22:H22" si="5">C16/C$16</f>
        <v>1</v>
      </c>
      <c r="D22" s="72">
        <f t="shared" si="5"/>
        <v>1</v>
      </c>
      <c r="E22" s="72">
        <f t="shared" si="5"/>
        <v>1</v>
      </c>
      <c r="F22" s="72">
        <f t="shared" si="5"/>
        <v>1</v>
      </c>
      <c r="G22" s="72">
        <f t="shared" si="5"/>
        <v>1</v>
      </c>
      <c r="H22" s="72">
        <f t="shared" si="5"/>
        <v>1</v>
      </c>
      <c r="I22" s="72">
        <f t="shared" ref="I22:J22" si="6">I16/I$16</f>
        <v>1</v>
      </c>
      <c r="J22" s="72">
        <f t="shared" si="6"/>
        <v>1</v>
      </c>
    </row>
    <row r="24" spans="1:10">
      <c r="A24" s="92" t="s">
        <v>355</v>
      </c>
      <c r="B24" s="93">
        <v>2016</v>
      </c>
      <c r="C24" s="93">
        <v>2017</v>
      </c>
      <c r="D24" s="93">
        <v>2018</v>
      </c>
      <c r="E24" s="93">
        <v>2019</v>
      </c>
      <c r="F24" s="93">
        <v>2020</v>
      </c>
      <c r="G24" s="93">
        <v>2021</v>
      </c>
      <c r="H24" s="65" t="s">
        <v>377</v>
      </c>
      <c r="I24" s="65" t="s">
        <v>378</v>
      </c>
      <c r="J24" s="65" t="s">
        <v>411</v>
      </c>
    </row>
    <row r="25" spans="1:10">
      <c r="A25" s="49" t="s">
        <v>336</v>
      </c>
      <c r="B25" s="94">
        <v>0.14269156180582171</v>
      </c>
      <c r="C25" s="94">
        <v>0.11218417042103654</v>
      </c>
      <c r="D25" s="94">
        <v>0.15894713497615279</v>
      </c>
      <c r="E25" s="94">
        <v>0.49359266912386651</v>
      </c>
      <c r="F25" s="94">
        <v>0.86921488849480377</v>
      </c>
      <c r="G25" s="94">
        <v>0.87778917914270249</v>
      </c>
      <c r="H25" s="94">
        <v>0.91413358711345527</v>
      </c>
      <c r="I25" s="94">
        <v>0.92538118561699112</v>
      </c>
      <c r="J25" s="94">
        <v>0.92538118561699112</v>
      </c>
    </row>
    <row r="26" spans="1:10">
      <c r="A26" s="49" t="s">
        <v>337</v>
      </c>
      <c r="B26" s="94">
        <v>0.55759304838194279</v>
      </c>
      <c r="C26" s="94">
        <v>0.63278213098731928</v>
      </c>
      <c r="D26" s="94">
        <v>0.58772346339739134</v>
      </c>
      <c r="E26" s="94">
        <v>0.40591486776845354</v>
      </c>
      <c r="F26" s="94">
        <v>8.750132485124211E-2</v>
      </c>
      <c r="G26" s="94">
        <v>8.6918081777059758E-2</v>
      </c>
      <c r="H26" s="94">
        <v>8.2456762513719029E-2</v>
      </c>
      <c r="I26" s="94">
        <v>7.0140267184339203E-2</v>
      </c>
      <c r="J26" s="94">
        <v>7.0140267184339203E-2</v>
      </c>
    </row>
    <row r="27" spans="1:10">
      <c r="A27" s="49" t="s">
        <v>335</v>
      </c>
      <c r="B27" s="94">
        <v>0.29971538981223544</v>
      </c>
      <c r="C27" s="94">
        <v>0.25503369859164415</v>
      </c>
      <c r="D27" s="94">
        <v>0.2533294016264559</v>
      </c>
      <c r="E27" s="94">
        <v>0.10049246310767992</v>
      </c>
      <c r="F27" s="94">
        <v>4.3283786653954194E-2</v>
      </c>
      <c r="G27" s="94">
        <v>3.5292739080237688E-2</v>
      </c>
      <c r="H27" s="94">
        <v>3.4096503728257444E-3</v>
      </c>
      <c r="I27" s="94">
        <v>4.478547198669666E-3</v>
      </c>
      <c r="J27" s="94">
        <v>4.478547198669666E-3</v>
      </c>
    </row>
  </sheetData>
  <sortState xmlns:xlrd2="http://schemas.microsoft.com/office/spreadsheetml/2017/richdata2" ref="A25:I27">
    <sortCondition descending="1" ref="H25:H27"/>
  </sortState>
  <phoneticPr fontId="31" type="noConversion"/>
  <pageMargins left="0.75" right="0.75" top="1" bottom="1" header="0.5" footer="0.5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46B7-6EC6-4DCF-9CF1-79D735566589}">
  <dimension ref="A2:B5"/>
  <sheetViews>
    <sheetView workbookViewId="0">
      <selection activeCell="J9" sqref="J9"/>
    </sheetView>
  </sheetViews>
  <sheetFormatPr baseColWidth="10" defaultRowHeight="15"/>
  <sheetData>
    <row r="2" spans="1:2">
      <c r="A2" t="s">
        <v>374</v>
      </c>
      <c r="B2" s="111">
        <v>0.4</v>
      </c>
    </row>
    <row r="3" spans="1:2">
      <c r="A3" t="s">
        <v>372</v>
      </c>
      <c r="B3" s="111">
        <v>0.3</v>
      </c>
    </row>
    <row r="4" spans="1:2">
      <c r="A4" t="s">
        <v>373</v>
      </c>
      <c r="B4" s="111">
        <v>0.3</v>
      </c>
    </row>
    <row r="5" spans="1:2">
      <c r="B5">
        <f>SUM(B2:B4)</f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D393-BEC6-4876-8987-20E0BD830470}">
  <dimension ref="A2:V55"/>
  <sheetViews>
    <sheetView topLeftCell="A31" zoomScale="80" zoomScaleNormal="80" workbookViewId="0">
      <selection activeCell="J47" sqref="J47"/>
    </sheetView>
  </sheetViews>
  <sheetFormatPr baseColWidth="10" defaultRowHeight="14.25"/>
  <cols>
    <col min="1" max="1" width="18.85546875" style="96" customWidth="1"/>
    <col min="2" max="5" width="14.140625" style="96" bestFit="1" customWidth="1"/>
    <col min="6" max="9" width="15.28515625" style="96" bestFit="1" customWidth="1"/>
    <col min="10" max="10" width="13.5703125" style="96" bestFit="1" customWidth="1"/>
    <col min="11" max="15" width="11.42578125" style="96"/>
    <col min="16" max="16" width="12.28515625" style="96" bestFit="1" customWidth="1"/>
    <col min="17" max="16384" width="11.42578125" style="96"/>
  </cols>
  <sheetData>
    <row r="2" spans="1:22" ht="15">
      <c r="A2" s="118" t="s">
        <v>8</v>
      </c>
      <c r="B2" s="118">
        <v>2016</v>
      </c>
      <c r="C2" s="118">
        <v>2017</v>
      </c>
      <c r="D2" s="118">
        <v>2018</v>
      </c>
      <c r="E2" s="118">
        <v>2019</v>
      </c>
      <c r="F2" s="118">
        <v>2020</v>
      </c>
      <c r="G2" s="118">
        <v>2021</v>
      </c>
      <c r="H2" s="118">
        <v>2022</v>
      </c>
      <c r="I2" s="118">
        <v>2023</v>
      </c>
      <c r="J2" s="118" t="s">
        <v>26</v>
      </c>
      <c r="K2" s="119"/>
    </row>
    <row r="3" spans="1:22" ht="15.75">
      <c r="A3" s="120" t="s">
        <v>19</v>
      </c>
      <c r="B3" s="121">
        <v>0</v>
      </c>
      <c r="C3" s="121">
        <v>0</v>
      </c>
      <c r="D3" s="121">
        <v>0</v>
      </c>
      <c r="E3" s="121">
        <v>2088327.11</v>
      </c>
      <c r="F3" s="121">
        <v>13995004.58</v>
      </c>
      <c r="G3" s="121">
        <v>16158395.51</v>
      </c>
      <c r="H3" s="121">
        <v>16575487.27</v>
      </c>
      <c r="I3" s="121">
        <f t="shared" ref="I3:I15" si="0">SUM(B3:H3)</f>
        <v>48817214.469999999</v>
      </c>
      <c r="J3" s="122">
        <f t="shared" ref="J3:J15" si="1">SUM(B3:I3)</f>
        <v>97634428.939999998</v>
      </c>
      <c r="K3" s="123">
        <f>J3/$J$16</f>
        <v>0.69054233685610511</v>
      </c>
    </row>
    <row r="4" spans="1:22" ht="15.75">
      <c r="A4" s="120" t="s">
        <v>260</v>
      </c>
      <c r="B4" s="121">
        <v>1901646.17</v>
      </c>
      <c r="C4" s="121">
        <v>1744671.27</v>
      </c>
      <c r="D4" s="121">
        <v>2244260.08</v>
      </c>
      <c r="E4" s="121">
        <v>1967969.4899999998</v>
      </c>
      <c r="F4" s="121">
        <v>1540449.46</v>
      </c>
      <c r="G4" s="121">
        <v>1536073.25</v>
      </c>
      <c r="H4" s="121">
        <v>1023468.71</v>
      </c>
      <c r="I4" s="121">
        <f t="shared" si="0"/>
        <v>11958538.43</v>
      </c>
      <c r="J4" s="122">
        <f t="shared" si="1"/>
        <v>23917076.859999999</v>
      </c>
      <c r="K4" s="123">
        <f t="shared" ref="K4:K10" si="2">J4/$J$16</f>
        <v>0.16915912066040786</v>
      </c>
    </row>
    <row r="5" spans="1:22" ht="15.75">
      <c r="A5" s="120" t="s">
        <v>169</v>
      </c>
      <c r="B5" s="121">
        <v>714198.35</v>
      </c>
      <c r="C5" s="121">
        <v>861758.13</v>
      </c>
      <c r="D5" s="121">
        <v>959990.85</v>
      </c>
      <c r="E5" s="121">
        <v>1053065.56</v>
      </c>
      <c r="F5" s="121">
        <v>860628.09</v>
      </c>
      <c r="G5" s="121">
        <v>1072983.19</v>
      </c>
      <c r="H5" s="121">
        <v>1037930.35</v>
      </c>
      <c r="I5" s="121">
        <f t="shared" si="0"/>
        <v>6560554.5199999996</v>
      </c>
      <c r="J5" s="122">
        <f t="shared" si="1"/>
        <v>13121109.039999999</v>
      </c>
      <c r="K5" s="123">
        <f t="shared" si="2"/>
        <v>9.2802112912377388E-2</v>
      </c>
    </row>
    <row r="6" spans="1:22" ht="15.75">
      <c r="A6" s="120" t="s">
        <v>357</v>
      </c>
      <c r="B6" s="121">
        <v>0</v>
      </c>
      <c r="C6" s="121">
        <v>0</v>
      </c>
      <c r="D6" s="121">
        <v>0</v>
      </c>
      <c r="E6" s="121">
        <v>0</v>
      </c>
      <c r="F6" s="121">
        <v>24431.43</v>
      </c>
      <c r="G6" s="121">
        <v>0</v>
      </c>
      <c r="H6" s="121">
        <v>2021040.27</v>
      </c>
      <c r="I6" s="121">
        <f t="shared" si="0"/>
        <v>2045471.7</v>
      </c>
      <c r="J6" s="122">
        <f t="shared" si="1"/>
        <v>4090943.4</v>
      </c>
      <c r="K6" s="123">
        <f t="shared" si="2"/>
        <v>2.8934154130384779E-2</v>
      </c>
    </row>
    <row r="7" spans="1:22" ht="16.5" customHeight="1">
      <c r="A7" s="124" t="s">
        <v>15</v>
      </c>
      <c r="B7" s="121">
        <v>0</v>
      </c>
      <c r="C7" s="121">
        <v>0</v>
      </c>
      <c r="D7" s="121">
        <v>0</v>
      </c>
      <c r="E7" s="121">
        <v>0</v>
      </c>
      <c r="F7" s="121">
        <v>0</v>
      </c>
      <c r="G7" s="121">
        <v>365645.7</v>
      </c>
      <c r="H7" s="121">
        <v>566774.65</v>
      </c>
      <c r="I7" s="121">
        <f t="shared" si="0"/>
        <v>932420.35000000009</v>
      </c>
      <c r="J7" s="122">
        <f t="shared" si="1"/>
        <v>1864840.7000000002</v>
      </c>
      <c r="K7" s="123">
        <f t="shared" si="2"/>
        <v>1.3189522065354082E-2</v>
      </c>
      <c r="O7" s="118">
        <v>2016</v>
      </c>
      <c r="P7" s="118">
        <v>2017</v>
      </c>
      <c r="Q7" s="118">
        <v>2018</v>
      </c>
      <c r="R7" s="118">
        <v>2019</v>
      </c>
      <c r="S7" s="118">
        <v>2020</v>
      </c>
      <c r="T7" s="118">
        <v>2021</v>
      </c>
      <c r="U7" s="118">
        <v>2022</v>
      </c>
      <c r="V7" s="118">
        <v>2023</v>
      </c>
    </row>
    <row r="8" spans="1:22" ht="15.75">
      <c r="A8" s="124" t="s">
        <v>356</v>
      </c>
      <c r="B8" s="121">
        <v>0</v>
      </c>
      <c r="C8" s="121">
        <v>0</v>
      </c>
      <c r="D8" s="121">
        <v>0</v>
      </c>
      <c r="E8" s="121">
        <v>0</v>
      </c>
      <c r="F8" s="121">
        <v>171636.8</v>
      </c>
      <c r="G8" s="121">
        <v>7096.26</v>
      </c>
      <c r="H8" s="121">
        <v>0</v>
      </c>
      <c r="I8" s="121">
        <f t="shared" si="0"/>
        <v>178733.06</v>
      </c>
      <c r="J8" s="122">
        <f t="shared" si="1"/>
        <v>357466.12</v>
      </c>
      <c r="K8" s="123">
        <f t="shared" si="2"/>
        <v>2.5282627504625513E-3</v>
      </c>
      <c r="O8" s="121">
        <v>2615844.52</v>
      </c>
      <c r="P8" s="121">
        <v>2606429.4</v>
      </c>
      <c r="Q8" s="121">
        <v>3244358.5100000002</v>
      </c>
      <c r="R8" s="121">
        <v>5169404.49</v>
      </c>
      <c r="S8" s="121">
        <v>16666210.74</v>
      </c>
      <c r="T8" s="121">
        <v>19142386.440000001</v>
      </c>
      <c r="U8" s="121">
        <v>21249386.91</v>
      </c>
      <c r="V8" s="121">
        <v>70694021.010000005</v>
      </c>
    </row>
    <row r="9" spans="1:22" ht="15.75">
      <c r="A9" s="120" t="s">
        <v>358</v>
      </c>
      <c r="B9" s="121">
        <v>0</v>
      </c>
      <c r="C9" s="121">
        <v>0</v>
      </c>
      <c r="D9" s="121">
        <v>39040.629999999997</v>
      </c>
      <c r="E9" s="121">
        <v>59462.33</v>
      </c>
      <c r="F9" s="121">
        <v>72956.38</v>
      </c>
      <c r="G9" s="121">
        <v>0</v>
      </c>
      <c r="H9" s="121">
        <v>0</v>
      </c>
      <c r="I9" s="121">
        <f t="shared" si="0"/>
        <v>171459.34</v>
      </c>
      <c r="J9" s="122">
        <f t="shared" si="1"/>
        <v>342918.68</v>
      </c>
      <c r="K9" s="123">
        <f t="shared" si="2"/>
        <v>2.4253725781950676E-3</v>
      </c>
    </row>
    <row r="10" spans="1:22" ht="15.75">
      <c r="A10" s="120" t="s">
        <v>140</v>
      </c>
      <c r="B10" s="121">
        <v>0</v>
      </c>
      <c r="C10" s="121">
        <v>0</v>
      </c>
      <c r="D10" s="121">
        <v>0</v>
      </c>
      <c r="E10" s="121">
        <v>0</v>
      </c>
      <c r="F10" s="121">
        <v>0</v>
      </c>
      <c r="G10" s="121">
        <v>0</v>
      </c>
      <c r="H10" s="121">
        <v>24425.81</v>
      </c>
      <c r="I10" s="121">
        <f t="shared" si="0"/>
        <v>24425.81</v>
      </c>
      <c r="J10" s="122">
        <f t="shared" si="1"/>
        <v>48851.62</v>
      </c>
      <c r="K10" s="123">
        <f t="shared" si="2"/>
        <v>3.4551450958695439E-4</v>
      </c>
      <c r="O10" s="144" t="s">
        <v>318</v>
      </c>
      <c r="P10" s="144" t="s">
        <v>395</v>
      </c>
    </row>
    <row r="11" spans="1:22" ht="15.75">
      <c r="A11" s="120" t="s">
        <v>282</v>
      </c>
      <c r="B11" s="121">
        <v>0</v>
      </c>
      <c r="C11" s="121">
        <v>0</v>
      </c>
      <c r="D11" s="121">
        <v>0</v>
      </c>
      <c r="E11" s="121">
        <v>0</v>
      </c>
      <c r="F11" s="121">
        <v>1104</v>
      </c>
      <c r="G11" s="121">
        <v>2192.5300000000002</v>
      </c>
      <c r="H11" s="121">
        <v>0</v>
      </c>
      <c r="I11" s="121">
        <f t="shared" si="0"/>
        <v>3296.53</v>
      </c>
      <c r="J11" s="122">
        <f t="shared" si="1"/>
        <v>6593.06</v>
      </c>
      <c r="K11" s="119"/>
      <c r="O11" s="118">
        <v>2016</v>
      </c>
      <c r="P11" s="121">
        <v>2615844.52</v>
      </c>
    </row>
    <row r="12" spans="1:22" ht="15.75">
      <c r="A12" s="120" t="s">
        <v>57</v>
      </c>
      <c r="B12" s="121">
        <v>0</v>
      </c>
      <c r="C12" s="121">
        <v>0</v>
      </c>
      <c r="D12" s="121">
        <v>1025.5</v>
      </c>
      <c r="E12" s="121">
        <v>0</v>
      </c>
      <c r="F12" s="121">
        <v>0</v>
      </c>
      <c r="G12" s="121">
        <v>0</v>
      </c>
      <c r="H12" s="121">
        <v>0</v>
      </c>
      <c r="I12" s="121">
        <f t="shared" si="0"/>
        <v>1025.5</v>
      </c>
      <c r="J12" s="122">
        <f t="shared" si="1"/>
        <v>2051</v>
      </c>
      <c r="K12" s="119"/>
      <c r="O12" s="118">
        <v>2017</v>
      </c>
      <c r="P12" s="121">
        <v>2606429.4</v>
      </c>
    </row>
    <row r="13" spans="1:22" ht="15.75">
      <c r="A13" s="120" t="s">
        <v>12</v>
      </c>
      <c r="B13" s="121">
        <v>0</v>
      </c>
      <c r="C13" s="121">
        <v>0</v>
      </c>
      <c r="D13" s="121">
        <v>0</v>
      </c>
      <c r="E13" s="121">
        <v>580</v>
      </c>
      <c r="F13" s="121">
        <v>0</v>
      </c>
      <c r="G13" s="121">
        <v>0</v>
      </c>
      <c r="H13" s="121">
        <v>0</v>
      </c>
      <c r="I13" s="121">
        <f t="shared" si="0"/>
        <v>580</v>
      </c>
      <c r="J13" s="122">
        <f t="shared" si="1"/>
        <v>1160</v>
      </c>
      <c r="K13" s="119"/>
      <c r="O13" s="118">
        <v>2018</v>
      </c>
      <c r="P13" s="121">
        <v>3244358.5100000002</v>
      </c>
    </row>
    <row r="14" spans="1:22" ht="15.75">
      <c r="A14" s="120" t="s">
        <v>221</v>
      </c>
      <c r="B14" s="121">
        <v>0</v>
      </c>
      <c r="C14" s="121">
        <v>0</v>
      </c>
      <c r="D14" s="121">
        <v>0</v>
      </c>
      <c r="E14" s="121">
        <v>0</v>
      </c>
      <c r="F14" s="121">
        <v>0</v>
      </c>
      <c r="G14" s="121">
        <v>0</v>
      </c>
      <c r="H14" s="121">
        <v>259.85000000000002</v>
      </c>
      <c r="I14" s="121">
        <f t="shared" si="0"/>
        <v>259.85000000000002</v>
      </c>
      <c r="J14" s="122">
        <f t="shared" si="1"/>
        <v>519.70000000000005</v>
      </c>
      <c r="K14" s="119"/>
      <c r="O14" s="118">
        <v>2019</v>
      </c>
      <c r="P14" s="121">
        <v>5169404.49</v>
      </c>
    </row>
    <row r="15" spans="1:22" ht="15.75">
      <c r="A15" s="120" t="s">
        <v>20</v>
      </c>
      <c r="B15" s="121">
        <v>0</v>
      </c>
      <c r="C15" s="121">
        <v>0</v>
      </c>
      <c r="D15" s="121">
        <v>41.45</v>
      </c>
      <c r="E15" s="121">
        <v>0</v>
      </c>
      <c r="F15" s="121">
        <v>0</v>
      </c>
      <c r="G15" s="121">
        <v>0</v>
      </c>
      <c r="H15" s="121">
        <v>0</v>
      </c>
      <c r="I15" s="121">
        <f t="shared" si="0"/>
        <v>41.45</v>
      </c>
      <c r="J15" s="122">
        <f t="shared" si="1"/>
        <v>82.9</v>
      </c>
      <c r="K15" s="119"/>
      <c r="O15" s="118">
        <v>2020</v>
      </c>
      <c r="P15" s="121">
        <v>16666210.74</v>
      </c>
    </row>
    <row r="16" spans="1:22" ht="15">
      <c r="A16" s="119"/>
      <c r="B16" s="121">
        <f>SUM(B3:B15)</f>
        <v>2615844.52</v>
      </c>
      <c r="C16" s="121">
        <f t="shared" ref="C16:I16" si="3">SUM(C3:C15)</f>
        <v>2606429.4</v>
      </c>
      <c r="D16" s="121">
        <f t="shared" si="3"/>
        <v>3244358.5100000002</v>
      </c>
      <c r="E16" s="121">
        <f t="shared" si="3"/>
        <v>5169404.49</v>
      </c>
      <c r="F16" s="121">
        <f t="shared" si="3"/>
        <v>16666210.74</v>
      </c>
      <c r="G16" s="121">
        <f t="shared" si="3"/>
        <v>19142386.440000001</v>
      </c>
      <c r="H16" s="121">
        <f t="shared" si="3"/>
        <v>21249386.91</v>
      </c>
      <c r="I16" s="121">
        <f t="shared" si="3"/>
        <v>70694021.010000005</v>
      </c>
      <c r="J16" s="122">
        <f>SUM(J3:J15)</f>
        <v>141388042.02000001</v>
      </c>
      <c r="K16" s="119"/>
      <c r="O16" s="118">
        <v>2021</v>
      </c>
      <c r="P16" s="121">
        <v>19142386.440000001</v>
      </c>
    </row>
    <row r="17" spans="5:16" ht="15">
      <c r="O17" s="118">
        <v>2022</v>
      </c>
      <c r="P17" s="121">
        <v>21249386.91</v>
      </c>
    </row>
    <row r="18" spans="5:16" ht="15">
      <c r="O18" s="118">
        <v>2023</v>
      </c>
      <c r="P18" s="121">
        <v>70694021.010000005</v>
      </c>
    </row>
    <row r="20" spans="5:16" ht="15.75">
      <c r="E20" s="117" t="s">
        <v>379</v>
      </c>
    </row>
    <row r="41" spans="6:8" ht="15">
      <c r="F41" s="118" t="s">
        <v>8</v>
      </c>
      <c r="G41" s="118" t="s">
        <v>26</v>
      </c>
      <c r="H41" s="174" t="s">
        <v>417</v>
      </c>
    </row>
    <row r="42" spans="6:8" ht="15.75">
      <c r="F42" s="120" t="s">
        <v>19</v>
      </c>
      <c r="G42" s="122">
        <v>97634428.939999998</v>
      </c>
      <c r="H42" s="173">
        <f>G42/$G$55</f>
        <v>0.69054233685610511</v>
      </c>
    </row>
    <row r="43" spans="6:8" ht="15.75">
      <c r="F43" s="120" t="s">
        <v>260</v>
      </c>
      <c r="G43" s="122">
        <v>23917076.859999999</v>
      </c>
      <c r="H43" s="173">
        <f t="shared" ref="H43:H54" si="4">G43/$G$55</f>
        <v>0.16915912066040786</v>
      </c>
    </row>
    <row r="44" spans="6:8" ht="15.75">
      <c r="F44" s="120" t="s">
        <v>169</v>
      </c>
      <c r="G44" s="122">
        <v>13121109.039999999</v>
      </c>
      <c r="H44" s="173">
        <f t="shared" si="4"/>
        <v>9.2802112912377388E-2</v>
      </c>
    </row>
    <row r="45" spans="6:8" ht="15.75">
      <c r="F45" s="120" t="s">
        <v>357</v>
      </c>
      <c r="G45" s="122">
        <v>4090943.4</v>
      </c>
      <c r="H45" s="173">
        <f t="shared" si="4"/>
        <v>2.8934154130384779E-2</v>
      </c>
    </row>
    <row r="46" spans="6:8" ht="15.75">
      <c r="F46" s="124" t="s">
        <v>15</v>
      </c>
      <c r="G46" s="122">
        <v>1864840.7000000002</v>
      </c>
      <c r="H46" s="173">
        <f t="shared" si="4"/>
        <v>1.3189522065354082E-2</v>
      </c>
    </row>
    <row r="47" spans="6:8" ht="15.75">
      <c r="F47" s="124" t="s">
        <v>356</v>
      </c>
      <c r="G47" s="122">
        <v>357466.12</v>
      </c>
      <c r="H47" s="173">
        <f t="shared" si="4"/>
        <v>2.5282627504625513E-3</v>
      </c>
    </row>
    <row r="48" spans="6:8" ht="15.75">
      <c r="F48" s="120" t="s">
        <v>358</v>
      </c>
      <c r="G48" s="122">
        <v>342918.68</v>
      </c>
      <c r="H48" s="173">
        <f t="shared" si="4"/>
        <v>2.4253725781950676E-3</v>
      </c>
    </row>
    <row r="49" spans="6:8" ht="15.75">
      <c r="F49" s="120" t="s">
        <v>140</v>
      </c>
      <c r="G49" s="122">
        <v>48851.62</v>
      </c>
      <c r="H49" s="173">
        <f t="shared" si="4"/>
        <v>3.4551450958695439E-4</v>
      </c>
    </row>
    <row r="50" spans="6:8" ht="15.75">
      <c r="F50" s="120" t="s">
        <v>282</v>
      </c>
      <c r="G50" s="122">
        <v>6593.06</v>
      </c>
      <c r="H50" s="173">
        <f t="shared" si="4"/>
        <v>4.6630959067014878E-5</v>
      </c>
    </row>
    <row r="51" spans="6:8" ht="15.75">
      <c r="F51" s="120" t="s">
        <v>57</v>
      </c>
      <c r="G51" s="122">
        <v>2051</v>
      </c>
      <c r="H51" s="173">
        <f t="shared" si="4"/>
        <v>1.4506177260095845E-5</v>
      </c>
    </row>
    <row r="52" spans="6:8" ht="15.75">
      <c r="F52" s="120" t="s">
        <v>12</v>
      </c>
      <c r="G52" s="122">
        <v>1160</v>
      </c>
      <c r="H52" s="173">
        <f t="shared" si="4"/>
        <v>8.2043713416436763E-6</v>
      </c>
    </row>
    <row r="53" spans="6:8" ht="15.75">
      <c r="F53" s="120" t="s">
        <v>221</v>
      </c>
      <c r="G53" s="122">
        <v>519.70000000000005</v>
      </c>
      <c r="H53" s="173">
        <f t="shared" si="4"/>
        <v>3.6756998157346716E-6</v>
      </c>
    </row>
    <row r="54" spans="6:8" ht="15.75">
      <c r="F54" s="120" t="s">
        <v>20</v>
      </c>
      <c r="G54" s="122">
        <v>82.9</v>
      </c>
      <c r="H54" s="173">
        <f t="shared" si="4"/>
        <v>5.8632964157091456E-7</v>
      </c>
    </row>
    <row r="55" spans="6:8">
      <c r="G55" s="172">
        <f>SUM(G42:G54)</f>
        <v>141388042.02000001</v>
      </c>
    </row>
  </sheetData>
  <sortState xmlns:xlrd2="http://schemas.microsoft.com/office/spreadsheetml/2017/richdata2" ref="A3:J15">
    <sortCondition descending="1" ref="J7:J15"/>
  </sortState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C9F7-3535-4AB9-A5B6-B46EDAE84A91}">
  <dimension ref="A1:I32"/>
  <sheetViews>
    <sheetView topLeftCell="A4" workbookViewId="0">
      <selection activeCell="H19" sqref="H19"/>
    </sheetView>
  </sheetViews>
  <sheetFormatPr baseColWidth="10" defaultRowHeight="15"/>
  <cols>
    <col min="1" max="1" width="16" bestFit="1" customWidth="1"/>
    <col min="2" max="9" width="17.42578125" bestFit="1" customWidth="1"/>
    <col min="257" max="257" width="16" bestFit="1" customWidth="1"/>
    <col min="258" max="265" width="17.42578125" bestFit="1" customWidth="1"/>
    <col min="513" max="513" width="16" bestFit="1" customWidth="1"/>
    <col min="514" max="521" width="17.42578125" bestFit="1" customWidth="1"/>
    <col min="769" max="769" width="16" bestFit="1" customWidth="1"/>
    <col min="770" max="777" width="17.42578125" bestFit="1" customWidth="1"/>
    <col min="1025" max="1025" width="16" bestFit="1" customWidth="1"/>
    <col min="1026" max="1033" width="17.42578125" bestFit="1" customWidth="1"/>
    <col min="1281" max="1281" width="16" bestFit="1" customWidth="1"/>
    <col min="1282" max="1289" width="17.42578125" bestFit="1" customWidth="1"/>
    <col min="1537" max="1537" width="16" bestFit="1" customWidth="1"/>
    <col min="1538" max="1545" width="17.42578125" bestFit="1" customWidth="1"/>
    <col min="1793" max="1793" width="16" bestFit="1" customWidth="1"/>
    <col min="1794" max="1801" width="17.42578125" bestFit="1" customWidth="1"/>
    <col min="2049" max="2049" width="16" bestFit="1" customWidth="1"/>
    <col min="2050" max="2057" width="17.42578125" bestFit="1" customWidth="1"/>
    <col min="2305" max="2305" width="16" bestFit="1" customWidth="1"/>
    <col min="2306" max="2313" width="17.42578125" bestFit="1" customWidth="1"/>
    <col min="2561" max="2561" width="16" bestFit="1" customWidth="1"/>
    <col min="2562" max="2569" width="17.42578125" bestFit="1" customWidth="1"/>
    <col min="2817" max="2817" width="16" bestFit="1" customWidth="1"/>
    <col min="2818" max="2825" width="17.42578125" bestFit="1" customWidth="1"/>
    <col min="3073" max="3073" width="16" bestFit="1" customWidth="1"/>
    <col min="3074" max="3081" width="17.42578125" bestFit="1" customWidth="1"/>
    <col min="3329" max="3329" width="16" bestFit="1" customWidth="1"/>
    <col min="3330" max="3337" width="17.42578125" bestFit="1" customWidth="1"/>
    <col min="3585" max="3585" width="16" bestFit="1" customWidth="1"/>
    <col min="3586" max="3593" width="17.42578125" bestFit="1" customWidth="1"/>
    <col min="3841" max="3841" width="16" bestFit="1" customWidth="1"/>
    <col min="3842" max="3849" width="17.42578125" bestFit="1" customWidth="1"/>
    <col min="4097" max="4097" width="16" bestFit="1" customWidth="1"/>
    <col min="4098" max="4105" width="17.42578125" bestFit="1" customWidth="1"/>
    <col min="4353" max="4353" width="16" bestFit="1" customWidth="1"/>
    <col min="4354" max="4361" width="17.42578125" bestFit="1" customWidth="1"/>
    <col min="4609" max="4609" width="16" bestFit="1" customWidth="1"/>
    <col min="4610" max="4617" width="17.42578125" bestFit="1" customWidth="1"/>
    <col min="4865" max="4865" width="16" bestFit="1" customWidth="1"/>
    <col min="4866" max="4873" width="17.42578125" bestFit="1" customWidth="1"/>
    <col min="5121" max="5121" width="16" bestFit="1" customWidth="1"/>
    <col min="5122" max="5129" width="17.42578125" bestFit="1" customWidth="1"/>
    <col min="5377" max="5377" width="16" bestFit="1" customWidth="1"/>
    <col min="5378" max="5385" width="17.42578125" bestFit="1" customWidth="1"/>
    <col min="5633" max="5633" width="16" bestFit="1" customWidth="1"/>
    <col min="5634" max="5641" width="17.42578125" bestFit="1" customWidth="1"/>
    <col min="5889" max="5889" width="16" bestFit="1" customWidth="1"/>
    <col min="5890" max="5897" width="17.42578125" bestFit="1" customWidth="1"/>
    <col min="6145" max="6145" width="16" bestFit="1" customWidth="1"/>
    <col min="6146" max="6153" width="17.42578125" bestFit="1" customWidth="1"/>
    <col min="6401" max="6401" width="16" bestFit="1" customWidth="1"/>
    <col min="6402" max="6409" width="17.42578125" bestFit="1" customWidth="1"/>
    <col min="6657" max="6657" width="16" bestFit="1" customWidth="1"/>
    <col min="6658" max="6665" width="17.42578125" bestFit="1" customWidth="1"/>
    <col min="6913" max="6913" width="16" bestFit="1" customWidth="1"/>
    <col min="6914" max="6921" width="17.42578125" bestFit="1" customWidth="1"/>
    <col min="7169" max="7169" width="16" bestFit="1" customWidth="1"/>
    <col min="7170" max="7177" width="17.42578125" bestFit="1" customWidth="1"/>
    <col min="7425" max="7425" width="16" bestFit="1" customWidth="1"/>
    <col min="7426" max="7433" width="17.42578125" bestFit="1" customWidth="1"/>
    <col min="7681" max="7681" width="16" bestFit="1" customWidth="1"/>
    <col min="7682" max="7689" width="17.42578125" bestFit="1" customWidth="1"/>
    <col min="7937" max="7937" width="16" bestFit="1" customWidth="1"/>
    <col min="7938" max="7945" width="17.42578125" bestFit="1" customWidth="1"/>
    <col min="8193" max="8193" width="16" bestFit="1" customWidth="1"/>
    <col min="8194" max="8201" width="17.42578125" bestFit="1" customWidth="1"/>
    <col min="8449" max="8449" width="16" bestFit="1" customWidth="1"/>
    <col min="8450" max="8457" width="17.42578125" bestFit="1" customWidth="1"/>
    <col min="8705" max="8705" width="16" bestFit="1" customWidth="1"/>
    <col min="8706" max="8713" width="17.42578125" bestFit="1" customWidth="1"/>
    <col min="8961" max="8961" width="16" bestFit="1" customWidth="1"/>
    <col min="8962" max="8969" width="17.42578125" bestFit="1" customWidth="1"/>
    <col min="9217" max="9217" width="16" bestFit="1" customWidth="1"/>
    <col min="9218" max="9225" width="17.42578125" bestFit="1" customWidth="1"/>
    <col min="9473" max="9473" width="16" bestFit="1" customWidth="1"/>
    <col min="9474" max="9481" width="17.42578125" bestFit="1" customWidth="1"/>
    <col min="9729" max="9729" width="16" bestFit="1" customWidth="1"/>
    <col min="9730" max="9737" width="17.42578125" bestFit="1" customWidth="1"/>
    <col min="9985" max="9985" width="16" bestFit="1" customWidth="1"/>
    <col min="9986" max="9993" width="17.42578125" bestFit="1" customWidth="1"/>
    <col min="10241" max="10241" width="16" bestFit="1" customWidth="1"/>
    <col min="10242" max="10249" width="17.42578125" bestFit="1" customWidth="1"/>
    <col min="10497" max="10497" width="16" bestFit="1" customWidth="1"/>
    <col min="10498" max="10505" width="17.42578125" bestFit="1" customWidth="1"/>
    <col min="10753" max="10753" width="16" bestFit="1" customWidth="1"/>
    <col min="10754" max="10761" width="17.42578125" bestFit="1" customWidth="1"/>
    <col min="11009" max="11009" width="16" bestFit="1" customWidth="1"/>
    <col min="11010" max="11017" width="17.42578125" bestFit="1" customWidth="1"/>
    <col min="11265" max="11265" width="16" bestFit="1" customWidth="1"/>
    <col min="11266" max="11273" width="17.42578125" bestFit="1" customWidth="1"/>
    <col min="11521" max="11521" width="16" bestFit="1" customWidth="1"/>
    <col min="11522" max="11529" width="17.42578125" bestFit="1" customWidth="1"/>
    <col min="11777" max="11777" width="16" bestFit="1" customWidth="1"/>
    <col min="11778" max="11785" width="17.42578125" bestFit="1" customWidth="1"/>
    <col min="12033" max="12033" width="16" bestFit="1" customWidth="1"/>
    <col min="12034" max="12041" width="17.42578125" bestFit="1" customWidth="1"/>
    <col min="12289" max="12289" width="16" bestFit="1" customWidth="1"/>
    <col min="12290" max="12297" width="17.42578125" bestFit="1" customWidth="1"/>
    <col min="12545" max="12545" width="16" bestFit="1" customWidth="1"/>
    <col min="12546" max="12553" width="17.42578125" bestFit="1" customWidth="1"/>
    <col min="12801" max="12801" width="16" bestFit="1" customWidth="1"/>
    <col min="12802" max="12809" width="17.42578125" bestFit="1" customWidth="1"/>
    <col min="13057" max="13057" width="16" bestFit="1" customWidth="1"/>
    <col min="13058" max="13065" width="17.42578125" bestFit="1" customWidth="1"/>
    <col min="13313" max="13313" width="16" bestFit="1" customWidth="1"/>
    <col min="13314" max="13321" width="17.42578125" bestFit="1" customWidth="1"/>
    <col min="13569" max="13569" width="16" bestFit="1" customWidth="1"/>
    <col min="13570" max="13577" width="17.42578125" bestFit="1" customWidth="1"/>
    <col min="13825" max="13825" width="16" bestFit="1" customWidth="1"/>
    <col min="13826" max="13833" width="17.42578125" bestFit="1" customWidth="1"/>
    <col min="14081" max="14081" width="16" bestFit="1" customWidth="1"/>
    <col min="14082" max="14089" width="17.42578125" bestFit="1" customWidth="1"/>
    <col min="14337" max="14337" width="16" bestFit="1" customWidth="1"/>
    <col min="14338" max="14345" width="17.42578125" bestFit="1" customWidth="1"/>
    <col min="14593" max="14593" width="16" bestFit="1" customWidth="1"/>
    <col min="14594" max="14601" width="17.42578125" bestFit="1" customWidth="1"/>
    <col min="14849" max="14849" width="16" bestFit="1" customWidth="1"/>
    <col min="14850" max="14857" width="17.42578125" bestFit="1" customWidth="1"/>
    <col min="15105" max="15105" width="16" bestFit="1" customWidth="1"/>
    <col min="15106" max="15113" width="17.42578125" bestFit="1" customWidth="1"/>
    <col min="15361" max="15361" width="16" bestFit="1" customWidth="1"/>
    <col min="15362" max="15369" width="17.42578125" bestFit="1" customWidth="1"/>
    <col min="15617" max="15617" width="16" bestFit="1" customWidth="1"/>
    <col min="15618" max="15625" width="17.42578125" bestFit="1" customWidth="1"/>
    <col min="15873" max="15873" width="16" bestFit="1" customWidth="1"/>
    <col min="15874" max="15881" width="17.42578125" bestFit="1" customWidth="1"/>
    <col min="16129" max="16129" width="16" bestFit="1" customWidth="1"/>
    <col min="16130" max="16137" width="17.42578125" bestFit="1" customWidth="1"/>
  </cols>
  <sheetData>
    <row r="1" spans="1:9">
      <c r="A1" s="125"/>
      <c r="B1" s="125" t="s">
        <v>381</v>
      </c>
      <c r="C1" s="126"/>
      <c r="D1" s="126"/>
      <c r="E1" s="126"/>
      <c r="F1" s="126"/>
      <c r="G1" s="126"/>
      <c r="H1" s="126"/>
      <c r="I1" s="127"/>
    </row>
    <row r="2" spans="1:9">
      <c r="A2" s="125" t="s">
        <v>382</v>
      </c>
      <c r="B2" s="125" t="s">
        <v>383</v>
      </c>
      <c r="C2" s="128" t="s">
        <v>384</v>
      </c>
      <c r="D2" s="128" t="s">
        <v>385</v>
      </c>
      <c r="E2" s="128" t="s">
        <v>386</v>
      </c>
      <c r="F2" s="128" t="s">
        <v>387</v>
      </c>
      <c r="G2" s="128" t="s">
        <v>388</v>
      </c>
      <c r="H2" s="128" t="s">
        <v>389</v>
      </c>
      <c r="I2" s="129" t="s">
        <v>390</v>
      </c>
    </row>
    <row r="3" spans="1:9">
      <c r="A3" s="125" t="s">
        <v>19</v>
      </c>
      <c r="B3" s="125">
        <v>11819153423353.85</v>
      </c>
      <c r="C3" s="128">
        <v>12640253743744.424</v>
      </c>
      <c r="D3" s="128">
        <v>13493442283300.77</v>
      </c>
      <c r="E3" s="128">
        <v>14296369668065.166</v>
      </c>
      <c r="F3" s="128">
        <v>14616413683019.543</v>
      </c>
      <c r="G3" s="128">
        <v>15851276922873.055</v>
      </c>
      <c r="H3" s="128">
        <v>16325084918823.803</v>
      </c>
      <c r="I3" s="129">
        <v>17173989334581.701</v>
      </c>
    </row>
    <row r="4" spans="1:9">
      <c r="A4" s="130" t="s">
        <v>260</v>
      </c>
      <c r="B4" s="130">
        <v>197306492869.1395</v>
      </c>
      <c r="C4" s="131">
        <v>202276318741.54837</v>
      </c>
      <c r="D4" s="131">
        <v>210305376512.77975</v>
      </c>
      <c r="E4" s="131">
        <v>215017545590.31543</v>
      </c>
      <c r="F4" s="131">
        <v>191509018299.91663</v>
      </c>
      <c r="G4" s="131">
        <v>217085487224.89301</v>
      </c>
      <c r="H4" s="131">
        <v>223002152647.31677</v>
      </c>
      <c r="I4" s="132">
        <v>221775234260.73746</v>
      </c>
    </row>
    <row r="5" spans="1:9">
      <c r="A5" s="130" t="s">
        <v>169</v>
      </c>
      <c r="B5" s="130">
        <v>96540800718.339813</v>
      </c>
      <c r="C5" s="131">
        <v>102304671535.15608</v>
      </c>
      <c r="D5" s="131">
        <v>103373034664.29601</v>
      </c>
      <c r="E5" s="131">
        <v>103544017315.43484</v>
      </c>
      <c r="F5" s="131">
        <v>93971273121.555649</v>
      </c>
      <c r="G5" s="131">
        <v>103197765280.13589</v>
      </c>
      <c r="H5" s="131">
        <v>109581722560.16742</v>
      </c>
      <c r="I5" s="132">
        <v>112162610913.16594</v>
      </c>
    </row>
    <row r="6" spans="1:9">
      <c r="A6" s="133" t="s">
        <v>23</v>
      </c>
      <c r="B6" s="133">
        <v>12113000716941.328</v>
      </c>
      <c r="C6" s="134">
        <v>12944834734021.129</v>
      </c>
      <c r="D6" s="134">
        <v>13807120694477.846</v>
      </c>
      <c r="E6" s="134">
        <v>14614931230970.918</v>
      </c>
      <c r="F6" s="134">
        <v>14901893974441.014</v>
      </c>
      <c r="G6" s="134">
        <v>16171560175378.084</v>
      </c>
      <c r="H6" s="134">
        <v>16657668794031.287</v>
      </c>
      <c r="I6" s="135">
        <v>17507927179755.605</v>
      </c>
    </row>
    <row r="7" spans="1:9">
      <c r="A7" s="131"/>
      <c r="B7" s="131"/>
      <c r="C7" s="131"/>
      <c r="D7" s="131"/>
      <c r="E7" s="131"/>
      <c r="F7" s="131"/>
      <c r="G7" s="131"/>
      <c r="H7" s="131"/>
      <c r="I7" s="131"/>
    </row>
    <row r="8" spans="1:9">
      <c r="A8" s="131"/>
      <c r="B8" s="136" t="s">
        <v>391</v>
      </c>
      <c r="C8" s="131"/>
      <c r="D8" s="131"/>
      <c r="E8" s="131"/>
      <c r="F8" s="131"/>
      <c r="G8" s="131"/>
      <c r="H8" s="131"/>
      <c r="I8" s="131"/>
    </row>
    <row r="9" spans="1:9">
      <c r="B9" s="137" t="s">
        <v>392</v>
      </c>
    </row>
    <row r="10" spans="1:9">
      <c r="B10" t="s">
        <v>393</v>
      </c>
    </row>
    <row r="13" spans="1:9">
      <c r="B13" s="138" t="s">
        <v>394</v>
      </c>
      <c r="C13" s="139" t="s">
        <v>19</v>
      </c>
      <c r="D13" s="139" t="s">
        <v>260</v>
      </c>
      <c r="E13" s="139" t="s">
        <v>169</v>
      </c>
    </row>
    <row r="14" spans="1:9">
      <c r="B14" s="140">
        <v>2015</v>
      </c>
      <c r="C14" s="141"/>
      <c r="D14" s="141"/>
      <c r="E14" s="141"/>
    </row>
    <row r="15" spans="1:9">
      <c r="B15" s="140">
        <v>2016</v>
      </c>
      <c r="C15" s="141">
        <v>11819153.423353849</v>
      </c>
      <c r="D15" s="141">
        <v>197306.4928691395</v>
      </c>
      <c r="E15" s="141">
        <v>96540.800718339815</v>
      </c>
    </row>
    <row r="16" spans="1:9">
      <c r="B16" s="140">
        <v>2017</v>
      </c>
      <c r="C16" s="141">
        <v>12640253.743744424</v>
      </c>
      <c r="D16" s="141">
        <v>202276.31874154837</v>
      </c>
      <c r="E16" s="141">
        <v>102304.67153515609</v>
      </c>
    </row>
    <row r="17" spans="2:5">
      <c r="B17" s="140">
        <v>2018</v>
      </c>
      <c r="C17" s="141">
        <v>13493442.28330077</v>
      </c>
      <c r="D17" s="141">
        <v>210305.37651277977</v>
      </c>
      <c r="E17" s="141">
        <v>103373.03466429601</v>
      </c>
    </row>
    <row r="18" spans="2:5">
      <c r="B18" s="140">
        <v>2019</v>
      </c>
      <c r="C18" s="141">
        <v>14296369.668065166</v>
      </c>
      <c r="D18" s="141">
        <v>215017.54559031542</v>
      </c>
      <c r="E18" s="141">
        <v>103544.01731543484</v>
      </c>
    </row>
    <row r="19" spans="2:5">
      <c r="B19" s="140">
        <v>2020</v>
      </c>
      <c r="C19" s="141">
        <v>14616413.683019543</v>
      </c>
      <c r="D19" s="141">
        <v>191509.01829991661</v>
      </c>
      <c r="E19" s="141">
        <v>93971.273121555656</v>
      </c>
    </row>
    <row r="20" spans="2:5">
      <c r="B20" s="140" t="s">
        <v>376</v>
      </c>
      <c r="C20" s="141">
        <v>15851276.922873056</v>
      </c>
      <c r="D20" s="141">
        <v>217085.487224893</v>
      </c>
      <c r="E20" s="141">
        <v>103197.76528013589</v>
      </c>
    </row>
    <row r="21" spans="2:5">
      <c r="B21" s="140" t="s">
        <v>377</v>
      </c>
      <c r="C21" s="141">
        <v>16325084.918823803</v>
      </c>
      <c r="D21" s="141">
        <v>223002.15264731678</v>
      </c>
      <c r="E21" s="141">
        <v>109581.72256016741</v>
      </c>
    </row>
    <row r="22" spans="2:5">
      <c r="B22" s="140" t="s">
        <v>378</v>
      </c>
      <c r="C22" s="141">
        <v>17173989.334581703</v>
      </c>
      <c r="D22" s="141">
        <v>221775.23426073746</v>
      </c>
      <c r="E22" s="141">
        <v>112162.61091316593</v>
      </c>
    </row>
    <row r="23" spans="2:5">
      <c r="B23" s="142"/>
      <c r="C23" s="131"/>
      <c r="D23" s="131"/>
      <c r="E23" s="131"/>
    </row>
    <row r="25" spans="2:5">
      <c r="B25" s="140">
        <v>2017</v>
      </c>
      <c r="C25" s="143">
        <f t="shared" ref="C25:E31" si="0">(C16-C15)/C15</f>
        <v>6.9472007933168531E-2</v>
      </c>
      <c r="D25" s="143">
        <f t="shared" si="0"/>
        <v>2.5188354423313516E-2</v>
      </c>
      <c r="E25" s="143">
        <f t="shared" si="0"/>
        <v>5.9703988095484176E-2</v>
      </c>
    </row>
    <row r="26" spans="2:5">
      <c r="B26" s="140">
        <v>2018</v>
      </c>
      <c r="C26" s="143">
        <f t="shared" si="0"/>
        <v>6.7497738324959186E-2</v>
      </c>
      <c r="D26" s="143">
        <f t="shared" si="0"/>
        <v>3.9693513413650017E-2</v>
      </c>
      <c r="E26" s="143">
        <f t="shared" si="0"/>
        <v>1.0442955469269925E-2</v>
      </c>
    </row>
    <row r="27" spans="2:5">
      <c r="B27" s="140">
        <v>2019</v>
      </c>
      <c r="C27" s="143">
        <f t="shared" si="0"/>
        <v>5.9505007536741268E-2</v>
      </c>
      <c r="D27" s="143">
        <f t="shared" si="0"/>
        <v>2.2406317687504805E-2</v>
      </c>
      <c r="E27" s="143">
        <f t="shared" si="0"/>
        <v>1.6540353264669508E-3</v>
      </c>
    </row>
    <row r="28" spans="2:5">
      <c r="B28" s="140">
        <v>2020</v>
      </c>
      <c r="C28" s="143">
        <f t="shared" si="0"/>
        <v>2.2386383563463834E-2</v>
      </c>
      <c r="D28" s="143">
        <f t="shared" si="0"/>
        <v>-0.10933306501038235</v>
      </c>
      <c r="E28" s="143">
        <f t="shared" si="0"/>
        <v>-9.2450963774342781E-2</v>
      </c>
    </row>
    <row r="29" spans="2:5">
      <c r="B29" s="140" t="s">
        <v>376</v>
      </c>
      <c r="C29" s="143">
        <f t="shared" si="0"/>
        <v>8.448469416872767E-2</v>
      </c>
      <c r="D29" s="143">
        <f t="shared" si="0"/>
        <v>0.13355229509307931</v>
      </c>
      <c r="E29" s="143">
        <f t="shared" si="0"/>
        <v>9.8184177484170021E-2</v>
      </c>
    </row>
    <row r="30" spans="2:5">
      <c r="B30" s="140" t="s">
        <v>377</v>
      </c>
      <c r="C30" s="143">
        <f t="shared" si="0"/>
        <v>2.9890840861347419E-2</v>
      </c>
      <c r="D30" s="143">
        <f t="shared" si="0"/>
        <v>2.7255002156336285E-2</v>
      </c>
      <c r="E30" s="143">
        <f t="shared" si="0"/>
        <v>6.1861390725874016E-2</v>
      </c>
    </row>
    <row r="31" spans="2:5">
      <c r="B31" s="140" t="s">
        <v>378</v>
      </c>
      <c r="C31" s="143">
        <f t="shared" si="0"/>
        <v>5.1999999998717454E-2</v>
      </c>
      <c r="D31" s="143">
        <f t="shared" si="0"/>
        <v>-5.5018230632047629E-3</v>
      </c>
      <c r="E31" s="143">
        <f t="shared" si="0"/>
        <v>2.3552179074219644E-2</v>
      </c>
    </row>
    <row r="32" spans="2:5">
      <c r="C32" s="116">
        <f>AVERAGE(C28:C31)</f>
        <v>4.7190479648064096E-2</v>
      </c>
      <c r="D32" s="116">
        <f>AVERAGE(D25:D31)</f>
        <v>1.9037227814328119E-2</v>
      </c>
      <c r="E32" s="116">
        <f>AVERAGE(E25:E31)</f>
        <v>2.3278251771591707E-2</v>
      </c>
    </row>
  </sheetData>
  <pageMargins left="0.7" right="0.7" top="0.75" bottom="0.75" header="0.3" footer="0.3"/>
  <pageSetup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9B10-DAC3-4046-9F73-75A4CB3FF8C5}">
  <dimension ref="B1:C11"/>
  <sheetViews>
    <sheetView workbookViewId="0">
      <selection activeCell="M11" sqref="M11"/>
    </sheetView>
  </sheetViews>
  <sheetFormatPr baseColWidth="10" defaultRowHeight="15"/>
  <sheetData>
    <row r="1" spans="2:3" ht="15.75">
      <c r="B1" s="171" t="s">
        <v>420</v>
      </c>
    </row>
    <row r="2" spans="2:3" ht="16.5" thickBot="1">
      <c r="B2" s="171" t="s">
        <v>421</v>
      </c>
    </row>
    <row r="3" spans="2:3" ht="15.75" thickBot="1">
      <c r="B3" s="178" t="s">
        <v>318</v>
      </c>
      <c r="C3" s="179" t="s">
        <v>419</v>
      </c>
    </row>
    <row r="4" spans="2:3" ht="15.75" thickBot="1">
      <c r="B4" s="180">
        <v>2016</v>
      </c>
      <c r="C4" s="181">
        <v>62.7</v>
      </c>
    </row>
    <row r="5" spans="2:3" ht="15.75" thickBot="1">
      <c r="B5" s="180">
        <v>2017</v>
      </c>
      <c r="C5" s="181">
        <v>64.099999999999994</v>
      </c>
    </row>
    <row r="6" spans="2:3" ht="15.75" thickBot="1">
      <c r="B6" s="180">
        <v>2018</v>
      </c>
      <c r="C6" s="181">
        <v>62.4</v>
      </c>
    </row>
    <row r="7" spans="2:3" ht="15.75" thickBot="1">
      <c r="B7" s="180">
        <v>2019</v>
      </c>
      <c r="C7" s="181">
        <v>60.2</v>
      </c>
    </row>
    <row r="8" spans="2:3" ht="15.75" thickBot="1">
      <c r="B8" s="180">
        <v>2020</v>
      </c>
      <c r="C8" s="181">
        <v>57.8</v>
      </c>
    </row>
    <row r="9" spans="2:3" ht="15.75" thickBot="1">
      <c r="B9" s="180">
        <v>2021</v>
      </c>
      <c r="C9" s="181">
        <v>59.6</v>
      </c>
    </row>
    <row r="10" spans="2:3" ht="15.75" thickBot="1">
      <c r="B10" s="180">
        <v>2022</v>
      </c>
      <c r="C10" s="181">
        <v>59.5</v>
      </c>
    </row>
    <row r="11" spans="2:3" ht="15.75" thickBot="1">
      <c r="B11" s="180">
        <v>2023</v>
      </c>
      <c r="C11" s="181">
        <v>61.5</v>
      </c>
    </row>
  </sheetData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A6B9-5A78-4680-B17B-0741675D50CB}">
  <dimension ref="B2:C12"/>
  <sheetViews>
    <sheetView workbookViewId="0">
      <selection activeCell="E8" sqref="E8"/>
    </sheetView>
  </sheetViews>
  <sheetFormatPr baseColWidth="10" defaultRowHeight="15"/>
  <sheetData>
    <row r="2" spans="2:3">
      <c r="B2" s="145" t="s">
        <v>397</v>
      </c>
    </row>
    <row r="3" spans="2:3" ht="15.75" customHeight="1"/>
    <row r="4" spans="2:3">
      <c r="B4" s="146" t="s">
        <v>318</v>
      </c>
      <c r="C4" s="146" t="s">
        <v>396</v>
      </c>
    </row>
    <row r="5" spans="2:3">
      <c r="B5" s="147">
        <v>2016</v>
      </c>
      <c r="C5" s="148">
        <v>100.01237409243917</v>
      </c>
    </row>
    <row r="6" spans="2:3">
      <c r="B6" s="147">
        <v>2017</v>
      </c>
      <c r="C6" s="148">
        <v>114.79607162172606</v>
      </c>
    </row>
    <row r="7" spans="2:3">
      <c r="B7" s="147">
        <v>2018</v>
      </c>
      <c r="C7" s="148">
        <v>114.95589758415856</v>
      </c>
    </row>
    <row r="8" spans="2:3">
      <c r="B8" s="147">
        <v>2019</v>
      </c>
      <c r="C8" s="148">
        <v>107.77403339058418</v>
      </c>
    </row>
    <row r="9" spans="2:3">
      <c r="B9" s="147">
        <v>2020</v>
      </c>
      <c r="C9" s="148">
        <v>92.47191277464924</v>
      </c>
    </row>
    <row r="10" spans="2:3">
      <c r="B10" s="147">
        <v>2021</v>
      </c>
      <c r="C10" s="148">
        <v>101.3791422816991</v>
      </c>
    </row>
    <row r="11" spans="2:3">
      <c r="B11" s="147" t="s">
        <v>377</v>
      </c>
      <c r="C11" s="148">
        <v>95.958904493554925</v>
      </c>
    </row>
    <row r="12" spans="2:3">
      <c r="B12" s="147" t="s">
        <v>378</v>
      </c>
      <c r="C12" s="148">
        <v>95.252193836519737</v>
      </c>
    </row>
  </sheetData>
  <phoneticPr fontId="3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graf 1</vt:lpstr>
      <vt:lpstr>Grafico 2</vt:lpstr>
      <vt:lpstr>graf 3 </vt:lpstr>
      <vt:lpstr>graf 4</vt:lpstr>
      <vt:lpstr>graf 5</vt:lpstr>
      <vt:lpstr>graf 6</vt:lpstr>
      <vt:lpstr>graf 7</vt:lpstr>
      <vt:lpstr>Graf 7 (2)</vt:lpstr>
      <vt:lpstr>graf 8</vt:lpstr>
      <vt:lpstr>Graf 9 precio</vt:lpstr>
      <vt:lpstr>Gráf 10</vt:lpstr>
      <vt:lpstr>Grafi 11</vt:lpstr>
      <vt:lpstr>graf 12 nn</vt:lpstr>
      <vt:lpstr>grafi 13</vt:lpstr>
      <vt:lpstr>Grafi 14</vt:lpstr>
      <vt:lpstr>Grafi 15</vt:lpstr>
      <vt:lpstr>Graf 16</vt:lpstr>
      <vt:lpstr>Graf 17</vt:lpstr>
      <vt:lpstr>Tabla 1</vt:lpstr>
      <vt:lpstr>Tab 2</vt:lpstr>
      <vt:lpstr>Tab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jose manuel herrera</cp:lastModifiedBy>
  <dcterms:created xsi:type="dcterms:W3CDTF">2015-06-05T18:19:34Z</dcterms:created>
  <dcterms:modified xsi:type="dcterms:W3CDTF">2026-04-23T02:49:13Z</dcterms:modified>
</cp:coreProperties>
</file>